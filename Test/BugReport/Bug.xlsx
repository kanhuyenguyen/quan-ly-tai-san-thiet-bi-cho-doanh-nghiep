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TT\test\"/>
    </mc:Choice>
  </mc:AlternateContent>
  <xr:revisionPtr revIDLastSave="0" documentId="13_ncr:1_{3DDEBF79-B26B-4B83-8942-E686FAE967C4}" xr6:coauthVersionLast="47" xr6:coauthVersionMax="47" xr10:uidLastSave="{00000000-0000-0000-0000-000000000000}"/>
  <bookViews>
    <workbookView xWindow="-108" yWindow="-108" windowWidth="23256" windowHeight="12456" xr2:uid="{00000000-000D-0000-FFFF-FFFF00000000}"/>
  </bookViews>
  <sheets>
    <sheet name="Bug Tracking"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F5" i="2" s="1"/>
  <c r="E5" i="2"/>
</calcChain>
</file>

<file path=xl/sharedStrings.xml><?xml version="1.0" encoding="utf-8"?>
<sst xmlns="http://schemas.openxmlformats.org/spreadsheetml/2006/main" count="755" uniqueCount="377">
  <si>
    <t>Người kiểm thử:</t>
  </si>
  <si>
    <t>Staging</t>
  </si>
  <si>
    <t>Production</t>
  </si>
  <si>
    <t>Điều kiện tiên quyết</t>
  </si>
  <si>
    <t>Dữ liệu đầu vào</t>
  </si>
  <si>
    <t>Các bước thực hiện</t>
  </si>
  <si>
    <t>Kết quả mong đợi</t>
  </si>
  <si>
    <t>Kết quả thực tế</t>
  </si>
  <si>
    <t>Mức độ nghiêm trọng</t>
  </si>
  <si>
    <t>Trạng thái</t>
  </si>
  <si>
    <t>Người kiểm thử</t>
  </si>
  <si>
    <t>Người xử lý</t>
  </si>
  <si>
    <t>Thời gian test</t>
  </si>
  <si>
    <t>Môi trường test</t>
  </si>
  <si>
    <t>Trình duyệt</t>
  </si>
  <si>
    <t>Ảnh</t>
  </si>
  <si>
    <t>Ghi chú</t>
  </si>
  <si>
    <t>Localhost (Flask + SQL Server)</t>
  </si>
  <si>
    <t>Microsoft Edge</t>
  </si>
  <si>
    <t>THÔNG TIN BUG</t>
  </si>
  <si>
    <r>
      <t xml:space="preserve">Tài khoản tiêu chuẩn đã có: 
</t>
    </r>
    <r>
      <rPr>
        <sz val="11"/>
        <rFont val="Times New Roman"/>
        <family val="1"/>
      </rPr>
      <t>Admin:  Tên: admin - Mật khẩu: admin123
Nhân viên: Tên: employee1 - Mật khẩu: 123456</t>
    </r>
  </si>
  <si>
    <t>DANH SÁCH BUG ĐĂNG NHẬP</t>
  </si>
  <si>
    <t>Mã Lỗi</t>
  </si>
  <si>
    <t>Mô tả lỗi</t>
  </si>
  <si>
    <t>Mức độ ưu tiên fix</t>
  </si>
  <si>
    <t>Tên lỗi</t>
  </si>
  <si>
    <t>Đã fix</t>
  </si>
  <si>
    <t>chưa fix</t>
  </si>
  <si>
    <t>Tổng số lỗi còn</t>
  </si>
  <si>
    <t>Môi trường</t>
  </si>
  <si>
    <t>Tổng lỗi</t>
  </si>
  <si>
    <t>Đăng nhập với tên đăng nhập và mật khẩu sai chữ hoa/thường</t>
  </si>
  <si>
    <t>Kiểm tra tên đăng nhập và mật khẩu phân biệt chữ hoa/thường</t>
  </si>
  <si>
    <t>Sử dụng tài khoản có trong hệ thống nhưng nhập sai chữ hoa/thương</t>
  </si>
  <si>
    <t>Tên: EMPLOYEE1 - Mật khẩu: 12345678</t>
  </si>
  <si>
    <t>1. Truy cập hệ thống
2. Nhập mật khẩu và tên đăng nhập
3. Nhấn "Đăng nhập"</t>
  </si>
  <si>
    <t>Hệ thống báo lỗi sai định dạng chữ hoa/thường</t>
  </si>
  <si>
    <t>Vẫn đăng nhập được vào hệ thống</t>
  </si>
  <si>
    <r>
      <rPr>
        <b/>
        <sz val="11"/>
        <rFont val="Times New Roman"/>
        <family val="1"/>
      </rPr>
      <t>Đạt</t>
    </r>
    <r>
      <rPr>
        <sz val="11"/>
        <rFont val="Times New Roman"/>
        <family val="1"/>
      </rPr>
      <t xml:space="preserve">: Hệ thống báo lỗi đăng nhập 
</t>
    </r>
    <r>
      <rPr>
        <b/>
        <sz val="11"/>
        <rFont val="Times New Roman"/>
        <family val="1"/>
      </rPr>
      <t>Không đạt</t>
    </r>
    <r>
      <rPr>
        <sz val="11"/>
        <rFont val="Times New Roman"/>
        <family val="1"/>
      </rPr>
      <t>: Hệ thống không báo lỗi và điều hướng trang bình thường</t>
    </r>
  </si>
  <si>
    <t>High</t>
  </si>
  <si>
    <t>Huyền</t>
  </si>
  <si>
    <t>_</t>
  </si>
  <si>
    <t>Login10</t>
  </si>
  <si>
    <t>Kiểm tra nhiều lần nhập sai mật khẩu</t>
  </si>
  <si>
    <t>Kiểm tra xử lý nhiều lần đăng nhập sai</t>
  </si>
  <si>
    <t>Tên: employee1 - Mật khẩu: 123458</t>
  </si>
  <si>
    <t>1. Truy cập hệ thống
2. Nhập mật khẩu và tên đăng nhập sai
3. Nhấn "Đăng nhập" liên lục</t>
  </si>
  <si>
    <t>Báo Lỗi và yêu cầu khóa đăng nhập trong vài phút</t>
  </si>
  <si>
    <t>Hệ thống vẫn cho đăng nhập tiếp</t>
  </si>
  <si>
    <r>
      <rPr>
        <b/>
        <sz val="11"/>
        <rFont val="Times New Roman"/>
        <family val="1"/>
      </rPr>
      <t>Đạt</t>
    </r>
    <r>
      <rPr>
        <sz val="11"/>
        <rFont val="Times New Roman"/>
        <family val="1"/>
      </rPr>
      <t xml:space="preserve">: Không truy cập được hệ thống và khóa tạm thòi vài phút
</t>
    </r>
    <r>
      <rPr>
        <b/>
        <sz val="11"/>
        <rFont val="Times New Roman"/>
        <family val="1"/>
      </rPr>
      <t>Không đạt:</t>
    </r>
    <r>
      <rPr>
        <sz val="11"/>
        <rFont val="Times New Roman"/>
        <family val="1"/>
      </rPr>
      <t>Hệ thống vẫn cho đăng nhập sai nhiều lần</t>
    </r>
  </si>
  <si>
    <t>Nguyễn Khánh Huyền</t>
  </si>
  <si>
    <t>Sử dụng tài khoản có trong hệ thống  nhưng sai mật khẩu và thực hiện đăng nhập liên tục &gt; 10 lần</t>
  </si>
  <si>
    <t>Kiểm tra SQL Injection  tại tên đăng nhập hoặc mật khẩu</t>
  </si>
  <si>
    <t>Kiểm tra khả năng hệ thống xử lý input độc hại SQL Injection tại trường tên đăng nhập hoặc mật khẩu nhằm đảm bảo không xảy ra lỗi bảo mật hoặc hành vi bất thường</t>
  </si>
  <si>
    <t>Truy cập được trang đăng nhập</t>
  </si>
  <si>
    <t>tên hoặc mật khẩu:
 "' OR '1'='1",
 "admin' --",
"'; DROP TABLE Users; --",
"' OR 1=1 --",
"1' AND 1=1 --",
 "1' AND 1=2 --",
 "' UNION SELECT * FROM Users --",
  "admin' OR 'a'='a",
 "' OR '1'='1' /*",
 "admin'#"</t>
  </si>
  <si>
    <t>1. Truy cập hệ thống
2. Nhập payload XSS vào ô tên đăng nhập hoặc mật khẩu
3. Nhấn "Đăng nhập" và quan sát</t>
  </si>
  <si>
    <t>Hệ thống không bị lỗi, không cho bypass đăng nhập</t>
  </si>
  <si>
    <t>Test Failed, hệ thống không xử lý đúng input</t>
  </si>
  <si>
    <r>
      <rPr>
        <b/>
        <sz val="11"/>
        <rFont val="Times New Roman"/>
        <family val="1"/>
      </rPr>
      <t>Đạt</t>
    </r>
    <r>
      <rPr>
        <sz val="11"/>
        <rFont val="Times New Roman"/>
        <family val="1"/>
      </rPr>
      <t xml:space="preserve">: không bypass login 
</t>
    </r>
    <r>
      <rPr>
        <b/>
        <sz val="11"/>
        <rFont val="Times New Roman"/>
        <family val="1"/>
      </rPr>
      <t>Không đạt</t>
    </r>
    <r>
      <rPr>
        <sz val="11"/>
        <rFont val="Times New Roman"/>
        <family val="1"/>
      </rPr>
      <t>: hệ thống lỗi hoặc sai xử lý</t>
    </r>
  </si>
  <si>
    <t>Load test đăng nhập 50 lần</t>
  </si>
  <si>
    <t>Kiểm tra hiệu năng thời gian phản hồi trung bình 50 lần đăng nhập liên tiếp</t>
  </si>
  <si>
    <t>1. Hệ thống đang chạy ổn định 
2. Tài khoản đăng nhập hợp lệ
3. Automation thực hiện login 50 lần liên tiếp</t>
  </si>
  <si>
    <t>Tài khoản có trong hệ thống</t>
  </si>
  <si>
    <t>1. Truy cập hệ thống với tài khoản hợp lệ
2. Thực hiện đăng nhặp 50 lần liên tiếp
3. So sánh thời gian phản hồi với 3s</t>
  </si>
  <si>
    <t>Thời gian phản hồi trung bình dưới 3000ms/3s</t>
  </si>
  <si>
    <t>TB: 4103.79ms, Nhanh: 4067.52ms, Chậm: 4157.38ms</t>
  </si>
  <si>
    <r>
      <rPr>
        <b/>
        <sz val="11"/>
        <color theme="1"/>
        <rFont val="Times New Roman"/>
        <family val="1"/>
      </rPr>
      <t>Đạt</t>
    </r>
    <r>
      <rPr>
        <sz val="11"/>
        <color theme="1"/>
        <rFont val="Times New Roman"/>
        <family val="1"/>
      </rPr>
      <t xml:space="preserve">: Thời gian phản hồi dưới 3000ms/ 3s
</t>
    </r>
    <r>
      <rPr>
        <b/>
        <sz val="11"/>
        <color theme="1"/>
        <rFont val="Times New Roman"/>
        <family val="1"/>
      </rPr>
      <t>Không đạt</t>
    </r>
    <r>
      <rPr>
        <sz val="11"/>
        <color theme="1"/>
        <rFont val="Times New Roman"/>
        <family val="1"/>
      </rPr>
      <t xml:space="preserve">:Thời gian phản hồi chậm hơn </t>
    </r>
  </si>
  <si>
    <t>Load test đăng nhập 100 lần</t>
  </si>
  <si>
    <t>Kiểm tra hiệu năng thời gian phản hồi trung bình 100 lần đăng nhập liên tiếp</t>
  </si>
  <si>
    <t>1. Hệ thống đang chạy ổn định 
2. Tài khoản đăng nhập hợp lệ
3. Automation thực hiện login 100 lần liên tiếp</t>
  </si>
  <si>
    <t>1. Truy cập hệ thống với tài khoản hợp lệ
2. Thực hiện đăng nhặp 100 lần liên tiếp
3. So sánh thời gian phản hồi với 3s</t>
  </si>
  <si>
    <t>TB: 4152.38ms</t>
  </si>
  <si>
    <t>Low</t>
  </si>
  <si>
    <t>Chromium (Playwright)</t>
  </si>
  <si>
    <t>Kiểm tra XSS trong tên tài sản</t>
  </si>
  <si>
    <t>Kiểm tra hệ thống có chặn script độc hại hay không</t>
  </si>
  <si>
    <t>1.Truy cập dưới quyền admin
2.Server đang hoạt động ổn định</t>
  </si>
  <si>
    <t>Nhập: &lt;script&gt;alert('XSS')&lt;/script&gt;</t>
  </si>
  <si>
    <t>1. Truy cập vào hệ thống với vai trò admin
2. Truy cập trang Quản lý tài sản và thiết bị 
3. Click tab tài sản và nhập dữ liệu đầu vào</t>
  </si>
  <si>
    <t>Script không được thực thi hoặc được escape ký tự</t>
  </si>
  <si>
    <t>Hệ thống chưa xử lý đúng payload XSS</t>
  </si>
  <si>
    <r>
      <rPr>
        <b/>
        <sz val="11"/>
        <rFont val="Times New Roman"/>
        <family val="1"/>
      </rPr>
      <t>Đạt</t>
    </r>
    <r>
      <rPr>
        <sz val="11"/>
        <rFont val="Times New Roman"/>
        <family val="1"/>
      </rPr>
      <t xml:space="preserve">: Không thực thi JavaScript
</t>
    </r>
    <r>
      <rPr>
        <b/>
        <sz val="11"/>
        <rFont val="Times New Roman"/>
        <family val="1"/>
      </rPr>
      <t>Không đạt</t>
    </r>
    <r>
      <rPr>
        <sz val="11"/>
        <rFont val="Times New Roman"/>
        <family val="1"/>
      </rPr>
      <t>: Script được render hoặc thực thi</t>
    </r>
  </si>
  <si>
    <t>Kiểm tra XSS trong tên thiết bị</t>
  </si>
  <si>
    <t>1. Truy cập vào hệ thống với vai trò admin
2. Truy cập trang Quản lý tài sản và thiết bị 
3. Click tab thiết bị và nhập dữ liệu đầu vào</t>
  </si>
  <si>
    <t>Kiểm tra SQL Injection trong tìm kiếm tài sản</t>
  </si>
  <si>
    <t>Kiểm tra khả năng hệ thống xử lý input độc hại SQL Injection</t>
  </si>
  <si>
    <t xml:space="preserve"> OR '1'='1</t>
  </si>
  <si>
    <t>Hệ thống không lỗi và không trả dữ liệu bất thường</t>
  </si>
  <si>
    <t>Lỗi server</t>
  </si>
  <si>
    <r>
      <rPr>
        <b/>
        <sz val="11"/>
        <rFont val="Times New Roman"/>
        <family val="1"/>
      </rPr>
      <t>Đạt</t>
    </r>
    <r>
      <rPr>
        <sz val="11"/>
        <rFont val="Times New Roman"/>
        <family val="1"/>
      </rPr>
      <t xml:space="preserve">: Không lỗi SQL, không bypass query
</t>
    </r>
    <r>
      <rPr>
        <b/>
        <sz val="11"/>
        <rFont val="Times New Roman"/>
        <family val="1"/>
      </rPr>
      <t>Không đạt</t>
    </r>
    <r>
      <rPr>
        <sz val="11"/>
        <rFont val="Times New Roman"/>
        <family val="1"/>
      </rPr>
      <t>: Lỗi server hoặc query bị bypass</t>
    </r>
  </si>
  <si>
    <t>SQL Injection trong tìm kiếm thiết bị</t>
  </si>
  <si>
    <t xml:space="preserve"> OR '1'='2</t>
  </si>
  <si>
    <t>Kiểm tra payload lớn trong tên tài sản</t>
  </si>
  <si>
    <t>Nhập chuỗi 10000 ký tự</t>
  </si>
  <si>
    <t>Hệ thống validate hoặc giới hạn input</t>
  </si>
  <si>
    <t>Hệ thống xử lý  ổn định</t>
  </si>
  <si>
    <r>
      <rPr>
        <b/>
        <sz val="11"/>
        <rFont val="Times New Roman"/>
        <family val="1"/>
      </rPr>
      <t>Đạt</t>
    </r>
    <r>
      <rPr>
        <sz val="11"/>
        <rFont val="Times New Roman"/>
        <family val="1"/>
      </rPr>
      <t xml:space="preserve">: Không crash/server error
</t>
    </r>
    <r>
      <rPr>
        <b/>
        <sz val="11"/>
        <rFont val="Times New Roman"/>
        <family val="1"/>
      </rPr>
      <t>Không đạt</t>
    </r>
    <r>
      <rPr>
        <sz val="11"/>
        <rFont val="Times New Roman"/>
        <family val="1"/>
      </rPr>
      <t>: Lỗi hệ thống hoặc treo</t>
    </r>
  </si>
  <si>
    <t>Medium</t>
  </si>
  <si>
    <t>Kiểm tra ký tự đặc biệt trong tên tài sản</t>
  </si>
  <si>
    <t>!#$%^*()!^</t>
  </si>
  <si>
    <t>1. Truy cập vào hệ thống với vai trò admin
2. Truy cập trang Quản lý tài sản và thiết bị 
3. Click tab tài sản và nhập dữ liệu đầu vào thêm tài sản</t>
  </si>
  <si>
    <t>Hệ thống xử lý an toàn ký tự đặc biệt</t>
  </si>
  <si>
    <t>Hệ thống xử lý không an toàn ký tự đặc biệt</t>
  </si>
  <si>
    <r>
      <rPr>
        <b/>
        <sz val="11"/>
        <rFont val="Times New Roman"/>
        <family val="1"/>
      </rPr>
      <t>Đạt</t>
    </r>
    <r>
      <rPr>
        <sz val="11"/>
        <rFont val="Times New Roman"/>
        <family val="1"/>
      </rPr>
      <t xml:space="preserve">: Hệ thống xử lý an toàn ký tự đặc biệt
</t>
    </r>
    <r>
      <rPr>
        <b/>
        <sz val="11"/>
        <rFont val="Times New Roman"/>
        <family val="1"/>
      </rPr>
      <t>Không đặt</t>
    </r>
    <r>
      <rPr>
        <sz val="11"/>
        <rFont val="Times New Roman"/>
        <family val="1"/>
      </rPr>
      <t>: Không xử lý được</t>
    </r>
  </si>
  <si>
    <t>Mã TC</t>
  </si>
  <si>
    <t>S-AD-01</t>
  </si>
  <si>
    <t>S-AD-02</t>
  </si>
  <si>
    <t>S-AD-03</t>
  </si>
  <si>
    <t>S-AD-04</t>
  </si>
  <si>
    <t>S-AD-05</t>
  </si>
  <si>
    <t>S-AD-07</t>
  </si>
  <si>
    <t>S-L-02</t>
  </si>
  <si>
    <t>P-L-04</t>
  </si>
  <si>
    <t>P-L-05</t>
  </si>
  <si>
    <t>S-L-01</t>
  </si>
  <si>
    <t>F-L-14</t>
  </si>
  <si>
    <t>P-AD-08</t>
  </si>
  <si>
    <t>Kiểm tra tải đồng thời API tài sản</t>
  </si>
  <si>
    <t>Kiểm tra khả năng xử lý 10 request cùng lúc</t>
  </si>
  <si>
    <t>Nhập đúng  dữ liệu tài sản hợp lệ</t>
  </si>
  <si>
    <t>Gửi đồng thời 10 request tới API /api/admin/assets
Đo thời gian phản hồi trung bình</t>
  </si>
  <si>
    <t>API phản hồi trung bình dưới 2 giây</t>
  </si>
  <si>
    <t>Thời gian phản hồi vượt mức cho phép</t>
  </si>
  <si>
    <r>
      <rPr>
        <b/>
        <sz val="11"/>
        <rFont val="Times New Roman"/>
        <family val="1"/>
      </rPr>
      <t>Đạt</t>
    </r>
    <r>
      <rPr>
        <sz val="11"/>
        <rFont val="Times New Roman"/>
        <family val="1"/>
      </rPr>
      <t xml:space="preserve">: &lt; 2000ms
</t>
    </r>
    <r>
      <rPr>
        <b/>
        <sz val="11"/>
        <rFont val="Times New Roman"/>
        <family val="1"/>
      </rPr>
      <t>Không đạt</t>
    </r>
    <r>
      <rPr>
        <sz val="11"/>
        <rFont val="Times New Roman"/>
        <family val="1"/>
      </rPr>
      <t>: ≥ 2000ms</t>
    </r>
  </si>
  <si>
    <t>Login14</t>
  </si>
  <si>
    <t>Login19</t>
  </si>
  <si>
    <t>AD07</t>
  </si>
  <si>
    <t>AD08</t>
  </si>
  <si>
    <t>AD09</t>
  </si>
  <si>
    <t>AD10</t>
  </si>
  <si>
    <t>AD14</t>
  </si>
  <si>
    <t>F-AD-11</t>
  </si>
  <si>
    <t>Sửa tài sản</t>
  </si>
  <si>
    <t>Kiểm tra sửa tài sản</t>
  </si>
  <si>
    <t>Truy cập dưới quyền admin</t>
  </si>
  <si>
    <t>Sửa theo thông tin hợp lệ</t>
  </si>
  <si>
    <t xml:space="preserve">1. Truy cập vào hệ thống với vai trò admin
2. Truy cập trang Quản lý tài sản và thiết bị 
3. Click tab Tài sản và sửa tài sản </t>
  </si>
  <si>
    <t>Cập nhật thành công</t>
  </si>
  <si>
    <r>
      <t xml:space="preserve">Đạt: </t>
    </r>
    <r>
      <rPr>
        <sz val="11"/>
        <rFont val="Times New Roman"/>
        <family val="1"/>
      </rPr>
      <t>Sửa được khi thiết tên</t>
    </r>
    <r>
      <rPr>
        <b/>
        <sz val="11"/>
        <rFont val="Times New Roman"/>
        <family val="1"/>
      </rPr>
      <t xml:space="preserve">
Không đặt: </t>
    </r>
    <r>
      <rPr>
        <sz val="11"/>
        <rFont val="Times New Roman"/>
        <family val="1"/>
      </rPr>
      <t>Không sửa được bình thường</t>
    </r>
  </si>
  <si>
    <t>S-Asg-03</t>
  </si>
  <si>
    <t xml:space="preserve"> XSS trong ghi chú bàn giao</t>
  </si>
  <si>
    <t>Kiểm tra chống XSS ở ghi chú</t>
  </si>
  <si>
    <t>Có tài sản/thiết bị chưa sử dụng</t>
  </si>
  <si>
    <t>&lt;script&gt;alert('XSS')&lt;/script&gt;</t>
  </si>
  <si>
    <t>1.Truy cập trang phân bổ/bàn giao
2.Nhập script vào ghi chú
3.Thực hiện bàn giao</t>
  </si>
  <si>
    <t>Script không được thực thi</t>
  </si>
  <si>
    <t>Có nguy cơ thực thi script</t>
  </si>
  <si>
    <t>Đạt:Dữ liệu được escape
Không đạt:Script hiển thị/thực thi</t>
  </si>
  <si>
    <t>S-Asg-04</t>
  </si>
  <si>
    <t>Kiểm tra định dạng ngày không hợp lệ</t>
  </si>
  <si>
    <t>Kiểm tra validate ngày bàn giao</t>
  </si>
  <si>
    <t>Chọn ngày không hợp lệ</t>
  </si>
  <si>
    <t>1.Truy cập trang phân bổ/bàn giao
2.Nhập ngày “invalid-date”
3.Thực hiện bàn giao</t>
  </si>
  <si>
    <t>Hệ thống không lỗi server</t>
  </si>
  <si>
    <t>Có lỗi xử lý hoặc phản hồi không đúng</t>
  </si>
  <si>
    <t>Đạt:Hệ thống validate dữ liệu an toàn
Không đạt:Server lỗi hoặc crash</t>
  </si>
  <si>
    <t>Asg-03</t>
  </si>
  <si>
    <t>Asg-04</t>
  </si>
  <si>
    <t>P-Asg-01</t>
  </si>
  <si>
    <t>Thời gian tải trang phân bổ</t>
  </si>
  <si>
    <t>Kiểm tra tốc độ tải trang</t>
  </si>
  <si>
    <t>Server hoạt động</t>
  </si>
  <si>
    <t>1.Truy cập trang phân bổ/bàn giao
2.Đo thời gian tải</t>
  </si>
  <si>
    <t>Tải dưới 3 giây</t>
  </si>
  <si>
    <t>Không đạt yêu cầu với thời gian 3590ms</t>
  </si>
  <si>
    <t>Đạt: &lt; 3s
Không đạt: &gt; 3s</t>
  </si>
  <si>
    <t>Asg-05</t>
  </si>
  <si>
    <t>Open</t>
  </si>
  <si>
    <t>S-Rep-02</t>
  </si>
  <si>
    <t>XSS trong ô tìm kiếm</t>
  </si>
  <si>
    <t>Kiểm tra chống XSS</t>
  </si>
  <si>
    <t>1.Truy cập trang Xử lý báo cáo 
2.Nhập script vào tìm kiếm
3.Thực hiện tìm</t>
  </si>
  <si>
    <t>S-Rep-03</t>
  </si>
  <si>
    <t>SQL Injection trong tìm kiếm</t>
  </si>
  <si>
    <t>Kiểm tra chống SQL Injection</t>
  </si>
  <si>
    <t>Nhập ' OR '1'='1</t>
  </si>
  <si>
    <t>1.Truy cập trang Xử lý báo cáo 
2.Nhập sql  vào tìm kiếm
3.Thực hiện tìm</t>
  </si>
  <si>
    <t>Đạt: Không lỗi SQL, không bypass query
Không đạt: Lỗi server hoặc query bị bypass</t>
  </si>
  <si>
    <t>Rep-02</t>
  </si>
  <si>
    <t>Rep-03</t>
  </si>
  <si>
    <t>S-Rep-05</t>
  </si>
  <si>
    <t>Payload lớn trong tìm kiếm</t>
  </si>
  <si>
    <t>Kiểm tra xử lý dữ liệu đầu vào lớn</t>
  </si>
  <si>
    <t>Nhập chuỗi 10.000 ký tự</t>
  </si>
  <si>
    <t>1.Truy cập trang Xử lý báo cáo 
2.Nhập dữ liệu vào tìm kiếm</t>
  </si>
  <si>
    <t>Hệ thống xử lý bình thường</t>
  </si>
  <si>
    <t>Xuất hiện lỗi hoặc xử lý không đúng</t>
  </si>
  <si>
    <t>Đạt: Không crash/server error
Không đạt: Lỗi hệ thống hoặc treo</t>
  </si>
  <si>
    <t>Rep-05</t>
  </si>
  <si>
    <t>S-BR-02</t>
  </si>
  <si>
    <t>Kiểm tra XSS trong yêu cầu mượn</t>
  </si>
  <si>
    <t>Kiểm tra hệ thống có chống mã độc XSS trong nội dung yêu cầu mượn hay không</t>
  </si>
  <si>
    <t>Đăng nhập tài khoản admin thành công</t>
  </si>
  <si>
    <t>1. Truy cập trang xử lý yêu cầu mượn
2. Kiểm tra nội dung danh sách yêu cầu
3. Quan sát mã HTML/JS hiển thị</t>
  </si>
  <si>
    <t>Hệ thống không hiển thị hoặc thực thi script độc hại</t>
  </si>
  <si>
    <t>Phát hiện chuỗi chứa “alert” xuất hiện trong nội dung trang</t>
  </si>
  <si>
    <t>Đạt: Không tồn tại script/XSS trên giao diện.
Không đạt: Xuất hiện script hoặc nội dung XSS chưa được xử lý</t>
  </si>
  <si>
    <t>S-BR-04</t>
  </si>
  <si>
    <t>Kiểm tra SQL Injection trong tìm kiếm yêu cầu mượn</t>
  </si>
  <si>
    <t>Kiểm tra hệ thống xử lý dữ liệu nhập chống SQL Injection</t>
  </si>
  <si>
    <t xml:space="preserve"> OR '1'='1 '</t>
  </si>
  <si>
    <t>1. Truy cập trang xử lý yêu cầu mượn
2. Nhập dữ liệu vào ô tìm kiếm
3. Quan sát phản hồi hệ thống</t>
  </si>
  <si>
    <t>Hệ thống xử lý an toàn, không lỗi server, không truy vấn sai dữ liệu</t>
  </si>
  <si>
    <t>Test thất bại khi nhập payload SQL Injection</t>
  </si>
  <si>
    <t>Đạt: Không lỗi hệ thống, dữ liệu hiển thị đúng.
Không đạt: Lỗi truy vấn, lỗi server hoặc hiển thị dữ liệu bất thường</t>
  </si>
  <si>
    <t>BR-02</t>
  </si>
  <si>
    <t>BR-03</t>
  </si>
  <si>
    <t>S-A-02</t>
  </si>
  <si>
    <t>SQL Injection trong tìm kiếm/ mô tả báo cáo</t>
  </si>
  <si>
    <t>Kiểm tra SQL Injection trong tìm kiếm</t>
  </si>
  <si>
    <t>Truy cập dưới quyền nhân viên</t>
  </si>
  <si>
    <t>1. Truy cập trang 
2. Nhập dữ liệu vào ô tìm kiếm/mô tả
3. Quan sát phản hồi hệ thống</t>
  </si>
  <si>
    <t>S-A-04</t>
  </si>
  <si>
    <t>Kiểm tra xử lý dữ liệu đầu vào kích thước lớn</t>
  </si>
  <si>
    <t>1.Truy cập trang 
2.Nhập dữ liệu vào tìm kiếm</t>
  </si>
  <si>
    <t>S-A-05</t>
  </si>
  <si>
    <t>Payload lớn trong lý do mượn</t>
  </si>
  <si>
    <t>Đóng modal yêu cầu mượn</t>
  </si>
  <si>
    <t>Kiểm tra hiệu năng đóng modal yêu cầu mượn</t>
  </si>
  <si>
    <t>1.Truy cập trang yêu cầu mượn
2.Mở modal yêu cầu mượn với tài sản tương ứng
3. Đóng modal</t>
  </si>
  <si>
    <t>Thời gian &lt; 0.5 giây</t>
  </si>
  <si>
    <t>Không đạt yêu cầu</t>
  </si>
  <si>
    <t>Đạt: &lt; 0,5 giây.
Không đạt: ≥ 0,5 giây</t>
  </si>
  <si>
    <t>P-A-07</t>
  </si>
  <si>
    <t>A-07</t>
  </si>
  <si>
    <t>A-03</t>
  </si>
  <si>
    <t>A-04</t>
  </si>
  <si>
    <t>A-02</t>
  </si>
  <si>
    <t>S-D-03</t>
  </si>
  <si>
    <t>SQL Injection trong tìm kiếm và mô tả báo cáo thiết bị</t>
  </si>
  <si>
    <t>Chuyển sang tab tài sản chưa sử dụng ytong trang yêu cầu mượn</t>
  </si>
  <si>
    <t>S-D-04</t>
  </si>
  <si>
    <t>Payload lớn trong tìm kiếm thiết bị</t>
  </si>
  <si>
    <t>Lọc thiết bị</t>
  </si>
  <si>
    <t>Kiểm tra tốc độ lọc thiết bị</t>
  </si>
  <si>
    <t>1.Truy cập trang
2. lọc thiết bị</t>
  </si>
  <si>
    <t>Thời gian &lt; 1s</t>
  </si>
  <si>
    <t>Đạt: &lt;  1giây.
Không đạt: ≥ 1 giây</t>
  </si>
  <si>
    <t>P-D-02</t>
  </si>
  <si>
    <t>D-04</t>
  </si>
  <si>
    <t>D-02</t>
  </si>
  <si>
    <t>S-Tra-01</t>
  </si>
  <si>
    <t>Kiểm tra XSS qua URL</t>
  </si>
  <si>
    <t>Kiểm tra khả năng chống tấn công XSS thông qua tham số URL</t>
  </si>
  <si>
    <t>1. Truy cập URL chứa payload &lt;script&gt;alert(1)&lt;/script&gt;
2. Quan sát nội dung trang</t>
  </si>
  <si>
    <t>S-Tra-02</t>
  </si>
  <si>
    <t>Kiểm tra SQL Injection qua URL</t>
  </si>
  <si>
    <t>Kiểm tra khả năng chống SQL Injection qua tham số URL</t>
  </si>
  <si>
    <t>1. Truy cập URL chứa payload ' OR '1'='1
2. Quan sát phản hồi hệ thống</t>
  </si>
  <si>
    <t>Tra-01</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</si>
  <si>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</si>
  <si>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</si>
  <si>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</si>
  <si>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</si>
  <si>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</si>
  <si>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</si>
  <si>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</si>
  <si>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</si>
  <si>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</si>
  <si>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</si>
  <si>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</si>
  <si>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</si>
  <si>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</si>
  <si>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</si>
  <si>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</si>
  <si>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</si>
  <si>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</si>
  <si>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</si>
  <si>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</si>
  <si>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</si>
  <si>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</si>
  <si>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</si>
  <si>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</si>
  <si>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</si>
  <si>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</si>
  <si>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</si>
  <si>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</si>
  <si>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</si>
  <si>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</si>
  <si>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</si>
  <si>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F-Usr-06</t>
  </si>
  <si>
    <t>Username quá ngắn</t>
  </si>
  <si>
    <t>Kiểm tra username dưới 3 ký tự</t>
  </si>
  <si>
    <t>Nhập username “ab”</t>
  </si>
  <si>
    <t>1.Truy cập trang Quản lý người dùng
2.Mở form thêm và thêm người dùng</t>
  </si>
  <si>
    <t>Hiển thị lỗi yêu cầu ít nhất 3 ký tự</t>
  </si>
  <si>
    <t>Không hiển thị lỗi đúng hoặc vẫn cho lưu</t>
  </si>
  <si>
    <r>
      <rPr>
        <b/>
        <sz val="11"/>
        <rFont val="Times New Roman"/>
        <family val="1"/>
      </rPr>
      <t>Đạt:</t>
    </r>
    <r>
      <rPr>
        <sz val="11"/>
        <rFont val="Times New Roman"/>
        <family val="1"/>
      </rPr>
      <t xml:space="preserve">Username không hợp lệ bị từ chối
</t>
    </r>
    <r>
      <rPr>
        <b/>
        <sz val="11"/>
        <rFont val="Times New Roman"/>
        <family val="1"/>
      </rPr>
      <t>Không đạt:</t>
    </r>
    <r>
      <rPr>
        <sz val="11"/>
        <rFont val="Times New Roman"/>
        <family val="1"/>
      </rPr>
      <t>User vẫn được tạo</t>
    </r>
  </si>
  <si>
    <t>Fail</t>
  </si>
  <si>
    <t>F-Usr-07</t>
  </si>
  <si>
    <t>Username chứa khoảng trắng</t>
  </si>
  <si>
    <t>Kiểm tra username có dấu cách</t>
  </si>
  <si>
    <t>Nhặp đủ các thong tin khác nhưng tên bỏ trống</t>
  </si>
  <si>
    <t>Hiển thị lỗi không được chứa khoảng trắng</t>
  </si>
  <si>
    <t>Hệ thống không chặn dấu cách</t>
  </si>
  <si>
    <r>
      <rPr>
        <b/>
        <sz val="11"/>
        <rFont val="Times New Roman"/>
        <family val="1"/>
      </rPr>
      <t>Đạt:</t>
    </r>
    <r>
      <rPr>
        <sz val="11"/>
        <rFont val="Times New Roman"/>
        <family val="1"/>
      </rPr>
      <t xml:space="preserve">Username không hợp lệ bị chặn
</t>
    </r>
    <r>
      <rPr>
        <b/>
        <sz val="11"/>
        <rFont val="Times New Roman"/>
        <family val="1"/>
      </rPr>
      <t>Không đạt:</t>
    </r>
    <r>
      <rPr>
        <sz val="11"/>
        <rFont val="Times New Roman"/>
        <family val="1"/>
      </rPr>
      <t>User được lưu thành công</t>
    </r>
  </si>
  <si>
    <t>F-Usr-08</t>
  </si>
  <si>
    <t>Username chứa emoji</t>
  </si>
  <si>
    <t>Kiểm tra username có emoji</t>
  </si>
  <si>
    <t>Nhập “test😀user”</t>
  </si>
  <si>
    <t>Hiển thị lỗi không cho phép emoji</t>
  </si>
  <si>
    <t>Hệ thống không chặn emoji</t>
  </si>
  <si>
    <r>
      <rPr>
        <b/>
        <sz val="11"/>
        <rFont val="Times New Roman"/>
        <family val="1"/>
      </rPr>
      <t>Đạt:</t>
    </r>
    <r>
      <rPr>
        <sz val="11"/>
        <rFont val="Times New Roman"/>
        <family val="1"/>
      </rPr>
      <t xml:space="preserve">Không lưu username chứa emoji
</t>
    </r>
    <r>
      <rPr>
        <b/>
        <sz val="11"/>
        <rFont val="Times New Roman"/>
        <family val="1"/>
      </rPr>
      <t>Không đạt:</t>
    </r>
    <r>
      <rPr>
        <sz val="11"/>
        <rFont val="Times New Roman"/>
        <family val="1"/>
      </rPr>
      <t>Username chứa emoji vẫn được tạo</t>
    </r>
  </si>
  <si>
    <t>F-Usr-09</t>
  </si>
  <si>
    <t>Username chứa ký tự đặc biệt</t>
  </si>
  <si>
    <t>Kiểm tra ký tự đặc biệt trong username</t>
  </si>
  <si>
    <t>Nhập “test@user”</t>
  </si>
  <si>
    <t>Username bị từ chối</t>
  </si>
  <si>
    <t>Username được lưu</t>
  </si>
  <si>
    <r>
      <t xml:space="preserve">Đạt:Hiển thị lỗi ký tự không hợp lệ
</t>
    </r>
    <r>
      <rPr>
        <b/>
        <sz val="11"/>
        <rFont val="Times New Roman"/>
        <family val="1"/>
      </rPr>
      <t xml:space="preserve">Không đạt: </t>
    </r>
    <r>
      <rPr>
        <sz val="11"/>
        <rFont val="Times New Roman"/>
        <family val="1"/>
      </rPr>
      <t>Hệ thống cho phép ký tự đặc biệt</t>
    </r>
  </si>
  <si>
    <t>F-Usr-10</t>
  </si>
  <si>
    <t>Password quá ngắn</t>
  </si>
  <si>
    <t>Kiểm tra password dưới 6 ký tự</t>
  </si>
  <si>
    <t>Nhập password “123”</t>
  </si>
  <si>
    <t>Hiển thị lỗi password quá ngắn</t>
  </si>
  <si>
    <t>Không hiển thị lỗi hoặc vẫn lưu được</t>
  </si>
  <si>
    <r>
      <rPr>
        <b/>
        <sz val="11"/>
        <rFont val="Times New Roman"/>
        <family val="1"/>
      </rPr>
      <t>Đạt:</t>
    </r>
    <r>
      <rPr>
        <sz val="11"/>
        <rFont val="Times New Roman"/>
        <family val="1"/>
      </rPr>
      <t xml:space="preserve">Password yếu bị chặn
</t>
    </r>
    <r>
      <rPr>
        <b/>
        <sz val="11"/>
        <rFont val="Times New Roman"/>
        <family val="1"/>
      </rPr>
      <t>Không đạt:</t>
    </r>
    <r>
      <rPr>
        <sz val="11"/>
        <rFont val="Times New Roman"/>
        <family val="1"/>
      </rPr>
      <t>Password yếu được chấp nhận</t>
    </r>
  </si>
  <si>
    <t>B-31</t>
  </si>
  <si>
    <t>B-32</t>
  </si>
  <si>
    <t>B-33</t>
  </si>
  <si>
    <t>B-34</t>
  </si>
  <si>
    <t>B-35</t>
  </si>
  <si>
    <t>S-Usr-03</t>
  </si>
  <si>
    <t>Kểm tra rò rỉ password</t>
  </si>
  <si>
    <t>Kiểm tra password xuất hiện trong response</t>
  </si>
  <si>
    <t>1.Truy cập trang Quản lý người dùng
2.Kiểm tra source HTML</t>
  </si>
  <si>
    <t>Password không hiển thị plain text</t>
  </si>
  <si>
    <t>Có dấu hiệu lộ dữ liệu password</t>
  </si>
  <si>
    <r>
      <rPr>
        <b/>
        <sz val="11"/>
        <rFont val="Times New Roman"/>
        <family val="1"/>
      </rPr>
      <t>Đạt</t>
    </r>
    <r>
      <rPr>
        <sz val="11"/>
        <rFont val="Times New Roman"/>
        <family val="1"/>
      </rPr>
      <t xml:space="preserve">:Không hiển thị password
</t>
    </r>
    <r>
      <rPr>
        <b/>
        <sz val="11"/>
        <rFont val="Times New Roman"/>
        <family val="1"/>
      </rPr>
      <t>Không</t>
    </r>
    <r>
      <rPr>
        <sz val="11"/>
        <rFont val="Times New Roman"/>
        <family val="1"/>
      </rPr>
      <t xml:space="preserve"> </t>
    </r>
    <r>
      <rPr>
        <b/>
        <sz val="11"/>
        <rFont val="Times New Roman"/>
        <family val="1"/>
      </rPr>
      <t>đạt</t>
    </r>
    <r>
      <rPr>
        <sz val="11"/>
        <rFont val="Times New Roman"/>
        <family val="1"/>
      </rPr>
      <t>:Lộ thông tin nhạy cảm</t>
    </r>
  </si>
  <si>
    <t>S-Usr-06</t>
  </si>
  <si>
    <t>SQL Injection trong tìm kiếm user</t>
  </si>
  <si>
    <t>Nhập ' OR '1'='2</t>
  </si>
  <si>
    <t>1.Truy cập trang Quản lý người dùng
2.Tạo nhiều người dùng</t>
  </si>
  <si>
    <t>Không lỗi SQL, không lộ dữ liệu</t>
  </si>
  <si>
    <t>Có lỗi hoặc xử lý không an toàn</t>
  </si>
  <si>
    <r>
      <rPr>
        <b/>
        <sz val="11"/>
        <rFont val="Times New Roman"/>
        <family val="1"/>
      </rPr>
      <t>Đạt</t>
    </r>
    <r>
      <rPr>
        <sz val="11"/>
        <rFont val="Times New Roman"/>
        <family val="1"/>
      </rPr>
      <t xml:space="preserve">:Không lỗi hệ thống
</t>
    </r>
    <r>
      <rPr>
        <b/>
        <sz val="11"/>
        <rFont val="Times New Roman"/>
        <family val="1"/>
      </rPr>
      <t>Không</t>
    </r>
    <r>
      <rPr>
        <sz val="11"/>
        <rFont val="Times New Roman"/>
        <family val="1"/>
      </rPr>
      <t xml:space="preserve"> </t>
    </r>
    <r>
      <rPr>
        <b/>
        <sz val="11"/>
        <rFont val="Times New Roman"/>
        <family val="1"/>
      </rPr>
      <t>đạt</t>
    </r>
    <r>
      <rPr>
        <sz val="11"/>
        <rFont val="Times New Roman"/>
        <family val="1"/>
      </rPr>
      <t>:Server lỗi hoặc trả sai dữ liệu</t>
    </r>
  </si>
  <si>
    <t>S-Usr-07</t>
  </si>
  <si>
    <t>XSS trong tên người dùng</t>
  </si>
  <si>
    <t>Kiểm tra script injection ở tên người dùng</t>
  </si>
  <si>
    <t xml:space="preserve"> &lt;script&gt;alert('XSS')&lt;/script&gt;</t>
  </si>
  <si>
    <t>Script không thực thi</t>
  </si>
  <si>
    <t>Có nguy cơ XSS</t>
  </si>
  <si>
    <r>
      <rPr>
        <b/>
        <sz val="11"/>
        <rFont val="Times New Roman"/>
        <family val="1"/>
      </rPr>
      <t>Đạt</t>
    </r>
    <r>
      <rPr>
        <sz val="11"/>
        <rFont val="Times New Roman"/>
        <family val="1"/>
      </rPr>
      <t xml:space="preserve">:Dữ liệu được escape
</t>
    </r>
    <r>
      <rPr>
        <b/>
        <sz val="11"/>
        <rFont val="Times New Roman"/>
        <family val="1"/>
      </rPr>
      <t>Không</t>
    </r>
    <r>
      <rPr>
        <sz val="11"/>
        <rFont val="Times New Roman"/>
        <family val="1"/>
      </rPr>
      <t xml:space="preserve"> </t>
    </r>
    <r>
      <rPr>
        <b/>
        <sz val="11"/>
        <rFont val="Times New Roman"/>
        <family val="1"/>
      </rPr>
      <t>đạt</t>
    </r>
    <r>
      <rPr>
        <sz val="11"/>
        <rFont val="Times New Roman"/>
        <family val="1"/>
      </rPr>
      <t>:Script được render</t>
    </r>
  </si>
  <si>
    <t>P-Usr-06</t>
  </si>
  <si>
    <t>Hiệu năng mở/đóng modal</t>
  </si>
  <si>
    <t>Đánh giá phản hồi giao diện modal</t>
  </si>
  <si>
    <t>1.Truy cập dưới quyền admin
2.Server hoạt động ổn định</t>
  </si>
  <si>
    <t>1.Truy cập trang Quản lý người dùng
2.Mở/đóng modal</t>
  </si>
  <si>
    <t>Dưới 1 giây</t>
  </si>
  <si>
    <r>
      <rPr>
        <b/>
        <sz val="11"/>
        <color theme="1"/>
        <rFont val="Times New Roman"/>
        <family val="1"/>
      </rPr>
      <t>Đạt</t>
    </r>
    <r>
      <rPr>
        <sz val="11"/>
        <color theme="1"/>
        <rFont val="Times New Roman"/>
        <family val="1"/>
      </rPr>
      <t xml:space="preserve">: &lt; 1s
</t>
    </r>
    <r>
      <rPr>
        <b/>
        <sz val="11"/>
        <color theme="1"/>
        <rFont val="Times New Roman"/>
        <family val="1"/>
      </rPr>
      <t>Không</t>
    </r>
    <r>
      <rPr>
        <sz val="11"/>
        <color theme="1"/>
        <rFont val="Times New Roman"/>
        <family val="1"/>
      </rPr>
      <t xml:space="preserve"> </t>
    </r>
    <r>
      <rPr>
        <b/>
        <sz val="11"/>
        <color theme="1"/>
        <rFont val="Times New Roman"/>
        <family val="1"/>
      </rPr>
      <t>đạt</t>
    </r>
    <r>
      <rPr>
        <sz val="11"/>
        <color theme="1"/>
        <rFont val="Times New Roman"/>
        <family val="1"/>
      </rPr>
      <t>: &gt; 1s</t>
    </r>
  </si>
  <si>
    <t>P-Usr-08</t>
  </si>
  <si>
    <t>Gọi API đồng thời</t>
  </si>
  <si>
    <t>Kiểm tra hiệu năng khi nhiều request đồng thời</t>
  </si>
  <si>
    <t>Gửi 10 request đồng thời</t>
  </si>
  <si>
    <t>API phản hồi dưới 2 giây</t>
  </si>
  <si>
    <r>
      <rPr>
        <b/>
        <sz val="11"/>
        <color theme="1"/>
        <rFont val="Times New Roman"/>
        <family val="1"/>
      </rPr>
      <t>Đạt</t>
    </r>
    <r>
      <rPr>
        <sz val="11"/>
        <color theme="1"/>
        <rFont val="Times New Roman"/>
        <family val="1"/>
      </rPr>
      <t xml:space="preserve">: &lt; 2s
</t>
    </r>
    <r>
      <rPr>
        <b/>
        <sz val="11"/>
        <color theme="1"/>
        <rFont val="Times New Roman"/>
        <family val="1"/>
      </rPr>
      <t>Không</t>
    </r>
    <r>
      <rPr>
        <sz val="11"/>
        <color theme="1"/>
        <rFont val="Times New Roman"/>
        <family val="1"/>
      </rPr>
      <t xml:space="preserve"> </t>
    </r>
    <r>
      <rPr>
        <b/>
        <sz val="11"/>
        <color theme="1"/>
        <rFont val="Times New Roman"/>
        <family val="1"/>
      </rPr>
      <t>đạt</t>
    </r>
    <r>
      <rPr>
        <sz val="11"/>
        <color theme="1"/>
        <rFont val="Times New Roman"/>
        <family val="1"/>
      </rPr>
      <t>: &gt; 2s</t>
    </r>
  </si>
  <si>
    <t>B-36</t>
  </si>
  <si>
    <t>B-37</t>
  </si>
  <si>
    <t>B-38</t>
  </si>
  <si>
    <t>B-39</t>
  </si>
  <si>
    <t>B-40</t>
  </si>
  <si>
    <t>Tra-02</t>
  </si>
  <si>
    <t>Tra-03</t>
  </si>
  <si>
    <t>Tra-04</t>
  </si>
  <si>
    <t>Tra-05</t>
  </si>
  <si>
    <t>Tra-06</t>
  </si>
  <si>
    <t>Tra-07</t>
  </si>
  <si>
    <t>Tra-08</t>
  </si>
  <si>
    <t>Tra-09</t>
  </si>
  <si>
    <t>Tra-10</t>
  </si>
  <si>
    <t>Tra-11</t>
  </si>
  <si>
    <t>Usr05</t>
  </si>
  <si>
    <t>Usr12</t>
  </si>
  <si>
    <t>Usr06</t>
  </si>
  <si>
    <t>Usr09</t>
  </si>
  <si>
    <t>Usr11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</si>
</sst>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6100"/>
      <name val="Calibri"/>
      <family val="2"/>
      <charset val="163"/>
      <scheme val="minor"/>
    </font>
    <font>
      <b/>
      <sz val="11"/>
      <name val="Times New Roman"/>
      <family val="1"/>
    </font>
    <font>
      <sz val="11"/>
      <name val="Times New Roman"/>
      <family val="1"/>
    </font>
    <font>
      <sz val="11"/>
      <color theme="1"/>
      <name val="Times New Roman"/>
      <family val="1"/>
    </font>
    <font>
      <b/>
      <sz val="18"/>
      <name val="Times New Roman"/>
      <family val="1"/>
    </font>
    <font>
      <sz val="8"/>
      <name val="Calibri"/>
      <family val="2"/>
      <scheme val="minor"/>
    </font>
    <font>
      <b/>
      <sz val="11"/>
      <color theme="1"/>
      <name val="Times New Roman"/>
      <family val="1"/>
    </font>
  </fonts>
  <fills count="4">
    <fill>
      <patternFill patternType="none"/>
    </fill>
    <fill>
      <patternFill patternType="gray125"/>
    </fill>
    <fill>
      <patternFill patternType="solid">
        <fgColor rgb="FFC6EFCE"/>
      </patternFill>
    </fill>
    <fill>
      <patternFill patternType="solid">
        <fgColor theme="6" tint="0.79998168889431442"/>
        <bgColor indexed="64"/>
      </patternFill>
    </fill>
  </fills>
  <borders count="14">
    <border>
      <left/>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42">
    <xf numFmtId="0" fontId="0" fillId="0" borderId="0" xfId="0"/>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left" vertical="center" wrapText="1"/>
    </xf>
    <xf numFmtId="0" fontId="4" fillId="0" borderId="3" xfId="0" applyFont="1" applyBorder="1" applyAlignment="1">
      <alignment horizontal="left" vertical="center" wrapText="1"/>
    </xf>
    <xf numFmtId="14" fontId="3" fillId="0" borderId="3" xfId="0" applyNumberFormat="1" applyFont="1" applyBorder="1" applyAlignment="1">
      <alignment horizontal="center" vertical="center" wrapText="1"/>
    </xf>
    <xf numFmtId="0" fontId="4" fillId="0" borderId="0" xfId="0" applyFont="1"/>
    <xf numFmtId="0" fontId="4" fillId="0" borderId="3" xfId="0" applyFont="1" applyBorder="1" applyAlignment="1">
      <alignment horizontal="center"/>
    </xf>
    <xf numFmtId="0" fontId="3" fillId="0" borderId="3" xfId="0" applyFont="1" applyBorder="1" applyAlignment="1">
      <alignment vertical="center" wrapText="1"/>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3" fillId="0" borderId="3" xfId="0" quotePrefix="1" applyFont="1" applyBorder="1" applyAlignment="1">
      <alignment horizontal="center" vertical="center" wrapText="1"/>
    </xf>
    <xf numFmtId="0" fontId="4" fillId="0" borderId="3" xfId="0" applyFont="1" applyBorder="1" applyAlignment="1">
      <alignment horizontal="center" vertical="center"/>
    </xf>
    <xf numFmtId="0" fontId="4" fillId="0" borderId="0" xfId="0" applyFont="1" applyAlignment="1">
      <alignment horizontal="center" vertical="center"/>
    </xf>
    <xf numFmtId="0" fontId="2" fillId="0" borderId="3" xfId="0" applyFont="1" applyBorder="1" applyAlignment="1">
      <alignment horizontal="left" vertical="center" wrapText="1"/>
    </xf>
    <xf numFmtId="0" fontId="0" fillId="0" borderId="3" xfId="0" applyBorder="1" applyAlignment="1">
      <alignment horizontal="center" vertical="center" wrapText="1"/>
    </xf>
    <xf numFmtId="0" fontId="0" fillId="0" borderId="0" xfId="0" applyAlignment="1">
      <alignment vertical="center" wrapText="1"/>
    </xf>
    <xf numFmtId="0" fontId="3" fillId="0" borderId="11" xfId="0" applyFont="1" applyBorder="1" applyAlignment="1">
      <alignment horizontal="center" vertical="center" wrapText="1"/>
    </xf>
    <xf numFmtId="0" fontId="0" fillId="0" borderId="3" xfId="0" applyBorder="1" applyAlignment="1">
      <alignment horizontal="left" vertical="center" wrapText="1"/>
    </xf>
    <xf numFmtId="0" fontId="4" fillId="0" borderId="3" xfId="0" applyFont="1" applyBorder="1"/>
    <xf numFmtId="0" fontId="2" fillId="0" borderId="13" xfId="0" applyFont="1" applyBorder="1" applyAlignment="1">
      <alignment horizontal="center" vertical="center" wrapText="1"/>
    </xf>
    <xf numFmtId="0" fontId="4" fillId="0" borderId="0" xfId="0" applyFont="1" applyAlignment="1">
      <alignment vertical="center" wrapText="1"/>
    </xf>
    <xf numFmtId="0" fontId="0" fillId="0" borderId="3" xfId="0" applyBorder="1" applyAlignment="1">
      <alignment horizontal="center" vertical="center"/>
    </xf>
    <xf numFmtId="0" fontId="2" fillId="0" borderId="3" xfId="0" applyFont="1" applyBorder="1" applyAlignment="1">
      <alignment horizontal="center" vertical="center" wrapText="1"/>
    </xf>
    <xf numFmtId="0" fontId="2" fillId="3" borderId="12" xfId="0" applyFont="1" applyFill="1" applyBorder="1" applyAlignment="1">
      <alignment horizontal="left" vertical="center" wrapText="1"/>
    </xf>
    <xf numFmtId="0" fontId="2" fillId="3" borderId="4" xfId="0" applyFont="1" applyFill="1" applyBorder="1" applyAlignment="1">
      <alignment horizontal="left" vertical="center" wrapText="1"/>
    </xf>
    <xf numFmtId="0" fontId="5" fillId="3" borderId="0" xfId="0" applyFont="1" applyFill="1" applyAlignment="1">
      <alignment horizontal="center" vertical="center" wrapText="1"/>
    </xf>
    <xf numFmtId="0" fontId="5" fillId="3" borderId="5" xfId="0" applyFont="1" applyFill="1" applyBorder="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xf>
    <xf numFmtId="0" fontId="2" fillId="2" borderId="3" xfId="1" applyFont="1" applyBorder="1" applyAlignment="1">
      <alignment horizontal="center" vertical="center" wrapText="1"/>
    </xf>
    <xf numFmtId="0" fontId="4" fillId="0" borderId="0" xfId="0" applyFont="1" applyAlignment="1">
      <alignment horizontal="left" wrapText="1"/>
    </xf>
    <xf numFmtId="0" fontId="3" fillId="0" borderId="11" xfId="0" applyFont="1" applyBorder="1" applyAlignment="1">
      <alignment horizontal="left"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47D4E-6C19-4F39-A496-4E2D959B8016}">
  <dimension ref="A1:S49"/>
  <sheetViews>
    <sheetView tabSelected="1" topLeftCell="A42" zoomScale="55" zoomScaleNormal="55" workbookViewId="0">
      <selection activeCell="H55" sqref="H55"/>
    </sheetView>
  </sheetViews>
  <sheetFormatPr defaultRowHeight="13.8" x14ac:dyDescent="0.25"/>
  <cols>
    <col min="1" max="1" width="12.21875" style="16" customWidth="1"/>
    <col min="2" max="2" width="15.6640625" style="9" customWidth="1"/>
    <col min="3" max="3" width="21.6640625" style="9" customWidth="1"/>
    <col min="4" max="4" width="18.77734375" style="9" customWidth="1"/>
    <col min="5" max="5" width="21.5546875" style="9" customWidth="1"/>
    <col min="6" max="6" width="17.109375" style="9" customWidth="1"/>
    <col min="7" max="9" width="19.33203125" style="9" customWidth="1"/>
    <col min="10" max="15" width="23.109375" style="9" customWidth="1"/>
    <col min="16" max="17" width="16.44140625" style="9" customWidth="1"/>
    <col min="18" max="18" width="14.5546875" style="9" customWidth="1"/>
    <col min="19" max="19" width="24.77734375" style="9" customWidth="1"/>
    <col min="20" max="16384" width="8.88671875" style="9"/>
  </cols>
  <sheetData>
    <row r="1" spans="1:19" ht="32.4" customHeight="1" x14ac:dyDescent="0.25">
      <c r="A1" s="29" t="s">
        <v>19</v>
      </c>
      <c r="B1" s="29"/>
      <c r="C1" s="29"/>
      <c r="D1" s="29"/>
      <c r="E1" s="29"/>
      <c r="F1" s="29"/>
      <c r="G1" s="29"/>
      <c r="H1" s="29"/>
      <c r="I1" s="29"/>
      <c r="J1" s="29"/>
      <c r="K1" s="29"/>
      <c r="L1" s="29"/>
      <c r="M1" s="29"/>
      <c r="N1" s="29"/>
      <c r="O1" s="29"/>
      <c r="P1" s="29"/>
      <c r="Q1" s="29"/>
      <c r="R1" s="29"/>
      <c r="S1" s="30"/>
    </row>
    <row r="2" spans="1:19" ht="62.4" customHeight="1" thickBot="1" x14ac:dyDescent="0.3">
      <c r="A2" s="31" t="s">
        <v>20</v>
      </c>
      <c r="B2" s="31"/>
      <c r="C2" s="31"/>
      <c r="D2" s="31"/>
      <c r="E2" s="31"/>
      <c r="F2" s="31"/>
      <c r="G2" s="31"/>
      <c r="H2" s="31"/>
      <c r="I2" s="31"/>
      <c r="J2" s="31"/>
      <c r="K2" s="31"/>
      <c r="L2" s="31"/>
      <c r="M2" s="31"/>
      <c r="N2" s="31"/>
      <c r="O2" s="31"/>
      <c r="P2" s="31"/>
      <c r="Q2" s="31"/>
      <c r="R2" s="31"/>
      <c r="S2" s="32"/>
    </row>
    <row r="3" spans="1:19" ht="23.4" customHeight="1" thickBot="1" x14ac:dyDescent="0.3">
      <c r="A3" s="33" t="s">
        <v>0</v>
      </c>
      <c r="B3" s="34"/>
      <c r="C3" s="35"/>
      <c r="D3" s="27" t="s">
        <v>50</v>
      </c>
      <c r="E3" s="28"/>
      <c r="F3" s="28"/>
      <c r="G3" s="28"/>
      <c r="H3" s="28"/>
      <c r="I3" s="28"/>
      <c r="J3" s="28"/>
      <c r="K3" s="28"/>
      <c r="L3" s="28"/>
      <c r="M3" s="28"/>
      <c r="N3" s="28"/>
      <c r="O3" s="28"/>
      <c r="P3" s="28"/>
      <c r="Q3" s="28"/>
      <c r="R3" s="28"/>
      <c r="S3" s="28"/>
    </row>
    <row r="4" spans="1:19" ht="14.4" customHeight="1" x14ac:dyDescent="0.25">
      <c r="A4" s="36" t="s">
        <v>29</v>
      </c>
      <c r="B4" s="37"/>
      <c r="C4" s="1" t="s">
        <v>30</v>
      </c>
      <c r="D4" s="23" t="s">
        <v>26</v>
      </c>
      <c r="E4" s="23" t="s">
        <v>27</v>
      </c>
      <c r="F4" s="23" t="s">
        <v>28</v>
      </c>
      <c r="G4" s="2"/>
      <c r="H4" s="2"/>
      <c r="I4" s="2"/>
      <c r="J4" s="2"/>
      <c r="K4" s="2"/>
      <c r="L4" s="2"/>
      <c r="M4" s="2"/>
      <c r="N4" s="2"/>
      <c r="O4" s="2"/>
      <c r="P4" s="2"/>
      <c r="Q4" s="2"/>
      <c r="R4" s="4"/>
      <c r="S4" s="5"/>
    </row>
    <row r="5" spans="1:19" ht="14.4" customHeight="1" x14ac:dyDescent="0.25">
      <c r="A5" s="26" t="s">
        <v>1</v>
      </c>
      <c r="B5" s="26"/>
      <c r="C5" s="3">
        <f>COUNTIF(B:B, "*B-L*")</f>
        <v>0</v>
      </c>
      <c r="D5" s="3">
        <v>0</v>
      </c>
      <c r="E5" s="3">
        <f>COUNTIF(L:L,"Open")</f>
        <v>30</v>
      </c>
      <c r="F5" s="3">
        <f>C5-D5</f>
        <v>0</v>
      </c>
      <c r="G5" s="4"/>
      <c r="H5" s="4"/>
      <c r="I5" s="4"/>
      <c r="J5" s="4"/>
      <c r="K5" s="4"/>
      <c r="L5" s="4"/>
      <c r="M5" s="4"/>
      <c r="N5" s="4"/>
      <c r="O5" s="4"/>
      <c r="P5" s="4"/>
      <c r="Q5" s="4"/>
      <c r="R5" s="4"/>
      <c r="S5" s="5"/>
    </row>
    <row r="6" spans="1:19" ht="15" customHeight="1" x14ac:dyDescent="0.25">
      <c r="A6" s="38" t="s">
        <v>2</v>
      </c>
      <c r="B6" s="38"/>
      <c r="C6" s="3">
        <v>0</v>
      </c>
      <c r="D6" s="3">
        <v>0</v>
      </c>
      <c r="E6" s="3">
        <v>0</v>
      </c>
      <c r="F6" s="3">
        <v>0</v>
      </c>
      <c r="G6" s="4"/>
      <c r="H6" s="4"/>
      <c r="I6" s="4"/>
      <c r="J6" s="4"/>
      <c r="K6" s="4"/>
      <c r="L6" s="4"/>
      <c r="M6" s="4"/>
      <c r="N6" s="4"/>
      <c r="O6" s="4"/>
      <c r="P6" s="4"/>
      <c r="Q6" s="4"/>
      <c r="R6" s="4"/>
      <c r="S6" s="5"/>
    </row>
    <row r="7" spans="1:19" ht="25.8" customHeight="1" x14ac:dyDescent="0.25">
      <c r="A7" s="39" t="s">
        <v>21</v>
      </c>
      <c r="B7" s="39"/>
      <c r="C7" s="39"/>
      <c r="D7" s="39"/>
      <c r="E7" s="39"/>
      <c r="F7" s="39"/>
      <c r="G7" s="39"/>
      <c r="H7" s="39"/>
      <c r="I7" s="39"/>
      <c r="J7" s="39"/>
      <c r="K7" s="39"/>
      <c r="L7" s="39"/>
      <c r="M7" s="39"/>
      <c r="N7" s="39"/>
      <c r="O7" s="39"/>
      <c r="P7" s="39"/>
      <c r="Q7" s="39"/>
      <c r="R7" s="39"/>
      <c r="S7" s="39"/>
    </row>
    <row r="8" spans="1:19" ht="14.4" customHeight="1" x14ac:dyDescent="0.25">
      <c r="A8" s="26" t="s">
        <v>105</v>
      </c>
      <c r="B8" s="26" t="s">
        <v>22</v>
      </c>
      <c r="C8" s="26" t="s">
        <v>25</v>
      </c>
      <c r="D8" s="26" t="s">
        <v>23</v>
      </c>
      <c r="E8" s="26" t="s">
        <v>3</v>
      </c>
      <c r="F8" s="26" t="s">
        <v>4</v>
      </c>
      <c r="G8" s="26" t="s">
        <v>5</v>
      </c>
      <c r="H8" s="26" t="s">
        <v>6</v>
      </c>
      <c r="I8" s="26" t="s">
        <v>7</v>
      </c>
      <c r="J8" s="26" t="s">
        <v>8</v>
      </c>
      <c r="K8" s="26" t="s">
        <v>24</v>
      </c>
      <c r="L8" s="26" t="s">
        <v>9</v>
      </c>
      <c r="M8" s="26" t="s">
        <v>10</v>
      </c>
      <c r="N8" s="26" t="s">
        <v>11</v>
      </c>
      <c r="O8" s="26" t="s">
        <v>12</v>
      </c>
      <c r="P8" s="26" t="s">
        <v>13</v>
      </c>
      <c r="Q8" s="26" t="s">
        <v>14</v>
      </c>
      <c r="R8" s="26" t="s">
        <v>15</v>
      </c>
      <c r="S8" s="26" t="s">
        <v>16</v>
      </c>
    </row>
    <row r="9" spans="1:19" x14ac:dyDescent="0.25">
      <c r="A9" s="26"/>
      <c r="B9" s="26"/>
      <c r="C9" s="26"/>
      <c r="D9" s="26"/>
      <c r="E9" s="26"/>
      <c r="F9" s="26"/>
      <c r="G9" s="26"/>
      <c r="H9" s="26"/>
      <c r="I9" s="26"/>
      <c r="J9" s="26"/>
      <c r="K9" s="26"/>
      <c r="L9" s="26"/>
      <c r="M9" s="26"/>
      <c r="N9" s="26"/>
      <c r="O9" s="26"/>
      <c r="P9" s="26"/>
      <c r="Q9" s="26"/>
      <c r="R9" s="26"/>
      <c r="S9" s="26"/>
    </row>
    <row r="10" spans="1:19" ht="69" x14ac:dyDescent="0.25">
      <c r="A10" s="15" t="s">
        <v>116</v>
      </c>
      <c r="B10" s="3" t="s">
        <v>251</v>
      </c>
      <c r="C10" s="6" t="s">
        <v>31</v>
      </c>
      <c r="D10" s="6" t="s">
        <v>32</v>
      </c>
      <c r="E10" s="6" t="s">
        <v>33</v>
      </c>
      <c r="F10" s="6" t="s">
        <v>34</v>
      </c>
      <c r="G10" s="6" t="s">
        <v>35</v>
      </c>
      <c r="H10" s="6" t="s">
        <v>36</v>
      </c>
      <c r="I10" s="6" t="s">
        <v>37</v>
      </c>
      <c r="J10" s="6" t="s">
        <v>38</v>
      </c>
      <c r="K10" s="3" t="s">
        <v>39</v>
      </c>
      <c r="L10" s="3" t="s">
        <v>168</v>
      </c>
      <c r="M10" s="3" t="s">
        <v>40</v>
      </c>
      <c r="N10" s="3" t="s">
        <v>41</v>
      </c>
      <c r="O10" s="8">
        <v>46167</v>
      </c>
      <c r="P10" s="3" t="s">
        <v>17</v>
      </c>
      <c r="Q10" s="3" t="s">
        <v>18</v>
      </c>
      <c r="R10" s="3" t="s">
        <v>42</v>
      </c>
      <c r="S10" s="3" t="s">
        <v>41</v>
      </c>
    </row>
    <row r="11" spans="1:19" ht="82.8" x14ac:dyDescent="0.25">
      <c r="A11" s="15" t="s">
        <v>115</v>
      </c>
      <c r="B11" s="3" t="s">
        <v>252</v>
      </c>
      <c r="C11" s="6" t="s">
        <v>43</v>
      </c>
      <c r="D11" s="6" t="s">
        <v>44</v>
      </c>
      <c r="E11" s="6" t="s">
        <v>51</v>
      </c>
      <c r="F11" s="6" t="s">
        <v>45</v>
      </c>
      <c r="G11" s="6" t="s">
        <v>46</v>
      </c>
      <c r="H11" s="6" t="s">
        <v>47</v>
      </c>
      <c r="I11" s="6" t="s">
        <v>48</v>
      </c>
      <c r="J11" s="6" t="s">
        <v>49</v>
      </c>
      <c r="K11" s="3" t="s">
        <v>39</v>
      </c>
      <c r="L11" s="3" t="s">
        <v>168</v>
      </c>
      <c r="M11" s="3" t="s">
        <v>40</v>
      </c>
      <c r="N11" s="3" t="s">
        <v>41</v>
      </c>
      <c r="O11" s="8">
        <v>46167</v>
      </c>
      <c r="P11" s="3" t="s">
        <v>17</v>
      </c>
      <c r="Q11" s="3" t="s">
        <v>18</v>
      </c>
      <c r="R11" s="3" t="s">
        <v>41</v>
      </c>
      <c r="S11" s="3" t="s">
        <v>41</v>
      </c>
    </row>
    <row r="12" spans="1:19" ht="207" x14ac:dyDescent="0.25">
      <c r="A12" s="15" t="s">
        <v>112</v>
      </c>
      <c r="B12" s="3" t="s">
        <v>253</v>
      </c>
      <c r="C12" s="6" t="s">
        <v>52</v>
      </c>
      <c r="D12" s="11" t="s">
        <v>53</v>
      </c>
      <c r="E12" s="6" t="s">
        <v>54</v>
      </c>
      <c r="F12" s="3" t="s">
        <v>55</v>
      </c>
      <c r="G12" s="6" t="s">
        <v>56</v>
      </c>
      <c r="H12" s="6" t="s">
        <v>57</v>
      </c>
      <c r="I12" s="6" t="s">
        <v>58</v>
      </c>
      <c r="J12" s="6" t="s">
        <v>59</v>
      </c>
      <c r="K12" s="3" t="s">
        <v>39</v>
      </c>
      <c r="L12" s="3" t="s">
        <v>168</v>
      </c>
      <c r="M12" s="3" t="s">
        <v>40</v>
      </c>
      <c r="N12" s="3" t="s">
        <v>41</v>
      </c>
      <c r="O12" s="3"/>
      <c r="P12" s="3" t="s">
        <v>17</v>
      </c>
      <c r="Q12" s="3" t="s">
        <v>74</v>
      </c>
      <c r="R12" s="3" t="s">
        <v>125</v>
      </c>
      <c r="S12" s="3" t="s">
        <v>41</v>
      </c>
    </row>
    <row r="13" spans="1:19" ht="106.8" customHeight="1" x14ac:dyDescent="0.25">
      <c r="A13" s="15" t="s">
        <v>113</v>
      </c>
      <c r="B13" s="3" t="s">
        <v>254</v>
      </c>
      <c r="C13" s="12" t="s">
        <v>60</v>
      </c>
      <c r="D13" s="7" t="s">
        <v>61</v>
      </c>
      <c r="E13" s="7" t="s">
        <v>62</v>
      </c>
      <c r="F13" s="13" t="s">
        <v>63</v>
      </c>
      <c r="G13" s="7" t="s">
        <v>64</v>
      </c>
      <c r="H13" s="13" t="s">
        <v>65</v>
      </c>
      <c r="I13" s="13" t="s">
        <v>66</v>
      </c>
      <c r="J13" s="7" t="s">
        <v>67</v>
      </c>
      <c r="K13" s="3" t="s">
        <v>73</v>
      </c>
      <c r="L13" s="3" t="s">
        <v>168</v>
      </c>
      <c r="M13" s="3" t="s">
        <v>40</v>
      </c>
      <c r="N13" s="3" t="s">
        <v>41</v>
      </c>
      <c r="O13" s="3"/>
      <c r="P13" s="3" t="s">
        <v>17</v>
      </c>
      <c r="Q13" s="3" t="s">
        <v>74</v>
      </c>
      <c r="R13" s="3" t="s">
        <v>126</v>
      </c>
      <c r="S13" s="3" t="s">
        <v>41</v>
      </c>
    </row>
    <row r="14" spans="1:19" ht="99" customHeight="1" x14ac:dyDescent="0.25">
      <c r="A14" s="15" t="s">
        <v>114</v>
      </c>
      <c r="B14" s="3" t="s">
        <v>255</v>
      </c>
      <c r="C14" s="12" t="s">
        <v>68</v>
      </c>
      <c r="D14" s="7" t="s">
        <v>69</v>
      </c>
      <c r="E14" s="7" t="s">
        <v>70</v>
      </c>
      <c r="F14" s="13" t="s">
        <v>63</v>
      </c>
      <c r="G14" s="7" t="s">
        <v>71</v>
      </c>
      <c r="H14" s="13" t="s">
        <v>65</v>
      </c>
      <c r="I14" s="13" t="s">
        <v>72</v>
      </c>
      <c r="J14" s="7" t="s">
        <v>67</v>
      </c>
      <c r="K14" s="3" t="s">
        <v>73</v>
      </c>
      <c r="L14" s="3" t="s">
        <v>168</v>
      </c>
      <c r="M14" s="3" t="s">
        <v>40</v>
      </c>
      <c r="N14" s="3" t="s">
        <v>41</v>
      </c>
      <c r="O14" s="3"/>
      <c r="P14" s="3" t="s">
        <v>17</v>
      </c>
      <c r="Q14" s="3" t="s">
        <v>74</v>
      </c>
      <c r="R14" s="3" t="s">
        <v>126</v>
      </c>
      <c r="S14" s="3" t="s">
        <v>41</v>
      </c>
    </row>
    <row r="15" spans="1:19" ht="124.2" x14ac:dyDescent="0.25">
      <c r="A15" s="3" t="s">
        <v>106</v>
      </c>
      <c r="B15" s="3" t="s">
        <v>256</v>
      </c>
      <c r="C15" s="11" t="s">
        <v>75</v>
      </c>
      <c r="D15" s="11" t="s">
        <v>76</v>
      </c>
      <c r="E15" s="11" t="s">
        <v>77</v>
      </c>
      <c r="F15" s="3" t="s">
        <v>78</v>
      </c>
      <c r="G15" s="6" t="s">
        <v>79</v>
      </c>
      <c r="H15" s="3" t="s">
        <v>80</v>
      </c>
      <c r="I15" s="3" t="s">
        <v>81</v>
      </c>
      <c r="J15" s="6" t="s">
        <v>82</v>
      </c>
      <c r="K15" s="3" t="s">
        <v>39</v>
      </c>
      <c r="L15" s="3" t="s">
        <v>168</v>
      </c>
      <c r="M15" s="3" t="s">
        <v>40</v>
      </c>
      <c r="N15" s="3" t="s">
        <v>41</v>
      </c>
      <c r="O15" s="3"/>
      <c r="P15" s="3" t="s">
        <v>17</v>
      </c>
      <c r="Q15" s="3" t="s">
        <v>74</v>
      </c>
      <c r="R15" s="3" t="s">
        <v>127</v>
      </c>
      <c r="S15" s="3" t="s">
        <v>41</v>
      </c>
    </row>
    <row r="16" spans="1:19" ht="124.2" x14ac:dyDescent="0.25">
      <c r="A16" s="3" t="s">
        <v>107</v>
      </c>
      <c r="B16" s="3" t="s">
        <v>257</v>
      </c>
      <c r="C16" s="11" t="s">
        <v>83</v>
      </c>
      <c r="D16" s="11" t="s">
        <v>76</v>
      </c>
      <c r="E16" s="11" t="s">
        <v>77</v>
      </c>
      <c r="F16" s="3" t="s">
        <v>78</v>
      </c>
      <c r="G16" s="6" t="s">
        <v>84</v>
      </c>
      <c r="H16" s="3" t="s">
        <v>80</v>
      </c>
      <c r="I16" s="3" t="s">
        <v>81</v>
      </c>
      <c r="J16" s="6" t="s">
        <v>82</v>
      </c>
      <c r="K16" s="3" t="s">
        <v>39</v>
      </c>
      <c r="L16" s="3" t="s">
        <v>168</v>
      </c>
      <c r="M16" s="3" t="s">
        <v>40</v>
      </c>
      <c r="N16" s="3" t="s">
        <v>41</v>
      </c>
      <c r="O16" s="3"/>
      <c r="P16" s="3" t="s">
        <v>17</v>
      </c>
      <c r="Q16" s="3" t="s">
        <v>74</v>
      </c>
      <c r="R16" s="3" t="s">
        <v>127</v>
      </c>
      <c r="S16" s="3" t="s">
        <v>41</v>
      </c>
    </row>
    <row r="17" spans="1:19" ht="124.2" x14ac:dyDescent="0.25">
      <c r="A17" s="3" t="s">
        <v>108</v>
      </c>
      <c r="B17" s="3" t="s">
        <v>258</v>
      </c>
      <c r="C17" s="11" t="s">
        <v>85</v>
      </c>
      <c r="D17" s="11" t="s">
        <v>86</v>
      </c>
      <c r="E17" s="11" t="s">
        <v>77</v>
      </c>
      <c r="F17" s="14" t="s">
        <v>87</v>
      </c>
      <c r="G17" s="6" t="s">
        <v>79</v>
      </c>
      <c r="H17" s="3" t="s">
        <v>88</v>
      </c>
      <c r="I17" s="3" t="s">
        <v>89</v>
      </c>
      <c r="J17" s="6" t="s">
        <v>90</v>
      </c>
      <c r="K17" s="3" t="s">
        <v>39</v>
      </c>
      <c r="L17" s="3" t="s">
        <v>168</v>
      </c>
      <c r="M17" s="3" t="s">
        <v>40</v>
      </c>
      <c r="N17" s="3" t="s">
        <v>41</v>
      </c>
      <c r="O17" s="3"/>
      <c r="P17" s="3" t="s">
        <v>17</v>
      </c>
      <c r="Q17" s="3" t="s">
        <v>74</v>
      </c>
      <c r="R17" s="3" t="s">
        <v>128</v>
      </c>
      <c r="S17" s="3" t="s">
        <v>41</v>
      </c>
    </row>
    <row r="18" spans="1:19" ht="124.2" x14ac:dyDescent="0.25">
      <c r="A18" s="3" t="s">
        <v>109</v>
      </c>
      <c r="B18" s="3" t="s">
        <v>259</v>
      </c>
      <c r="C18" s="11" t="s">
        <v>91</v>
      </c>
      <c r="D18" s="11" t="s">
        <v>86</v>
      </c>
      <c r="E18" s="11" t="s">
        <v>77</v>
      </c>
      <c r="F18" s="14" t="s">
        <v>92</v>
      </c>
      <c r="G18" s="6" t="s">
        <v>84</v>
      </c>
      <c r="H18" s="3" t="s">
        <v>88</v>
      </c>
      <c r="I18" s="3" t="s">
        <v>89</v>
      </c>
      <c r="J18" s="6" t="s">
        <v>90</v>
      </c>
      <c r="K18" s="3" t="s">
        <v>39</v>
      </c>
      <c r="L18" s="3" t="s">
        <v>168</v>
      </c>
      <c r="M18" s="3" t="s">
        <v>40</v>
      </c>
      <c r="N18" s="3" t="s">
        <v>41</v>
      </c>
      <c r="O18" s="3"/>
      <c r="P18" s="3" t="s">
        <v>17</v>
      </c>
      <c r="Q18" s="3" t="s">
        <v>74</v>
      </c>
      <c r="R18" s="3" t="s">
        <v>128</v>
      </c>
      <c r="S18" s="3" t="s">
        <v>41</v>
      </c>
    </row>
    <row r="19" spans="1:19" ht="124.2" x14ac:dyDescent="0.25">
      <c r="A19" s="3" t="s">
        <v>110</v>
      </c>
      <c r="B19" s="3" t="s">
        <v>260</v>
      </c>
      <c r="C19" s="11" t="s">
        <v>93</v>
      </c>
      <c r="D19" s="11" t="s">
        <v>93</v>
      </c>
      <c r="E19" s="11" t="s">
        <v>77</v>
      </c>
      <c r="F19" s="3" t="s">
        <v>94</v>
      </c>
      <c r="G19" s="6" t="s">
        <v>79</v>
      </c>
      <c r="H19" s="3" t="s">
        <v>95</v>
      </c>
      <c r="I19" s="3" t="s">
        <v>96</v>
      </c>
      <c r="J19" s="6" t="s">
        <v>97</v>
      </c>
      <c r="K19" s="3" t="s">
        <v>39</v>
      </c>
      <c r="L19" s="3" t="s">
        <v>168</v>
      </c>
      <c r="M19" s="3" t="s">
        <v>40</v>
      </c>
      <c r="N19" s="3" t="s">
        <v>41</v>
      </c>
      <c r="O19" s="3"/>
      <c r="P19" s="3" t="s">
        <v>17</v>
      </c>
      <c r="Q19" s="3" t="s">
        <v>74</v>
      </c>
      <c r="R19" s="3" t="s">
        <v>129</v>
      </c>
      <c r="S19" s="3" t="s">
        <v>41</v>
      </c>
    </row>
    <row r="20" spans="1:19" ht="124.2" x14ac:dyDescent="0.25">
      <c r="A20" s="3" t="s">
        <v>111</v>
      </c>
      <c r="B20" s="3" t="s">
        <v>261</v>
      </c>
      <c r="C20" s="11" t="s">
        <v>99</v>
      </c>
      <c r="D20" s="11" t="s">
        <v>99</v>
      </c>
      <c r="E20" s="11" t="s">
        <v>77</v>
      </c>
      <c r="F20" s="3" t="s">
        <v>100</v>
      </c>
      <c r="G20" s="6" t="s">
        <v>101</v>
      </c>
      <c r="H20" s="3" t="s">
        <v>102</v>
      </c>
      <c r="I20" s="3" t="s">
        <v>103</v>
      </c>
      <c r="J20" s="6" t="s">
        <v>104</v>
      </c>
      <c r="K20" s="3" t="s">
        <v>98</v>
      </c>
      <c r="L20" s="3" t="s">
        <v>168</v>
      </c>
      <c r="M20" s="3" t="s">
        <v>40</v>
      </c>
      <c r="N20" s="3" t="s">
        <v>41</v>
      </c>
      <c r="O20" s="3"/>
      <c r="P20" s="3" t="s">
        <v>17</v>
      </c>
      <c r="Q20" s="3" t="s">
        <v>74</v>
      </c>
      <c r="R20" s="3" t="s">
        <v>130</v>
      </c>
      <c r="S20" s="3" t="s">
        <v>41</v>
      </c>
    </row>
    <row r="21" spans="1:19" ht="69" x14ac:dyDescent="0.25">
      <c r="A21" s="3" t="s">
        <v>117</v>
      </c>
      <c r="B21" s="3" t="s">
        <v>262</v>
      </c>
      <c r="C21" s="11" t="s">
        <v>118</v>
      </c>
      <c r="D21" s="3" t="s">
        <v>119</v>
      </c>
      <c r="E21" s="11" t="s">
        <v>77</v>
      </c>
      <c r="F21" s="11" t="s">
        <v>120</v>
      </c>
      <c r="G21" s="6" t="s">
        <v>121</v>
      </c>
      <c r="H21" s="6" t="s">
        <v>122</v>
      </c>
      <c r="I21" s="6" t="s">
        <v>123</v>
      </c>
      <c r="J21" s="11" t="s">
        <v>124</v>
      </c>
      <c r="K21" s="3" t="s">
        <v>39</v>
      </c>
      <c r="L21" s="3" t="s">
        <v>168</v>
      </c>
      <c r="M21" s="3" t="s">
        <v>40</v>
      </c>
      <c r="N21" s="3" t="s">
        <v>41</v>
      </c>
      <c r="O21" s="3"/>
      <c r="P21" s="3" t="s">
        <v>17</v>
      </c>
      <c r="Q21" s="3" t="s">
        <v>74</v>
      </c>
      <c r="R21" s="3" t="s">
        <v>131</v>
      </c>
      <c r="S21" s="3" t="s">
        <v>41</v>
      </c>
    </row>
    <row r="22" spans="1:19" ht="110.4" x14ac:dyDescent="0.25">
      <c r="A22" s="3" t="s">
        <v>132</v>
      </c>
      <c r="B22" s="3" t="s">
        <v>263</v>
      </c>
      <c r="C22" s="6" t="s">
        <v>133</v>
      </c>
      <c r="D22" s="6" t="s">
        <v>134</v>
      </c>
      <c r="E22" s="6" t="s">
        <v>135</v>
      </c>
      <c r="F22" s="3" t="s">
        <v>136</v>
      </c>
      <c r="G22" s="6" t="s">
        <v>137</v>
      </c>
      <c r="H22" s="6" t="s">
        <v>138</v>
      </c>
      <c r="I22" s="6" t="s">
        <v>138</v>
      </c>
      <c r="J22" s="17" t="s">
        <v>139</v>
      </c>
      <c r="K22" s="3" t="s">
        <v>39</v>
      </c>
      <c r="L22" s="3" t="s">
        <v>168</v>
      </c>
      <c r="M22" s="3" t="s">
        <v>40</v>
      </c>
      <c r="N22" s="3" t="s">
        <v>41</v>
      </c>
      <c r="O22" s="3"/>
      <c r="P22" s="3" t="s">
        <v>17</v>
      </c>
      <c r="Q22" s="3" t="s">
        <v>18</v>
      </c>
      <c r="R22" s="3" t="s">
        <v>41</v>
      </c>
      <c r="S22" s="3" t="s">
        <v>41</v>
      </c>
    </row>
    <row r="23" spans="1:19" ht="69" x14ac:dyDescent="0.25">
      <c r="A23" s="18" t="s">
        <v>140</v>
      </c>
      <c r="B23" s="3" t="s">
        <v>264</v>
      </c>
      <c r="C23" s="11" t="s">
        <v>141</v>
      </c>
      <c r="D23" s="19" t="s">
        <v>142</v>
      </c>
      <c r="E23" s="11" t="s">
        <v>143</v>
      </c>
      <c r="F23" s="20" t="s">
        <v>144</v>
      </c>
      <c r="G23" s="6" t="s">
        <v>145</v>
      </c>
      <c r="H23" s="6" t="s">
        <v>146</v>
      </c>
      <c r="I23" s="6" t="s">
        <v>147</v>
      </c>
      <c r="J23" s="6" t="s">
        <v>148</v>
      </c>
      <c r="K23" s="3" t="s">
        <v>39</v>
      </c>
      <c r="L23" s="3" t="s">
        <v>168</v>
      </c>
      <c r="M23" s="3" t="s">
        <v>40</v>
      </c>
      <c r="N23" s="3" t="s">
        <v>41</v>
      </c>
      <c r="O23" s="22"/>
      <c r="P23" s="3" t="s">
        <v>17</v>
      </c>
      <c r="Q23" s="3" t="s">
        <v>74</v>
      </c>
      <c r="R23" s="3" t="s">
        <v>157</v>
      </c>
      <c r="S23" s="3" t="s">
        <v>41</v>
      </c>
    </row>
    <row r="24" spans="1:19" ht="69" x14ac:dyDescent="0.25">
      <c r="A24" s="18" t="s">
        <v>149</v>
      </c>
      <c r="B24" s="3" t="s">
        <v>265</v>
      </c>
      <c r="C24" s="11" t="s">
        <v>150</v>
      </c>
      <c r="D24" s="11" t="s">
        <v>151</v>
      </c>
      <c r="E24" s="11" t="s">
        <v>143</v>
      </c>
      <c r="F24" s="3" t="s">
        <v>152</v>
      </c>
      <c r="G24" s="6" t="s">
        <v>153</v>
      </c>
      <c r="H24" s="6" t="s">
        <v>154</v>
      </c>
      <c r="I24" s="6" t="s">
        <v>155</v>
      </c>
      <c r="J24" s="6" t="s">
        <v>156</v>
      </c>
      <c r="K24" s="3" t="s">
        <v>98</v>
      </c>
      <c r="L24" s="3" t="s">
        <v>168</v>
      </c>
      <c r="M24" s="3" t="s">
        <v>40</v>
      </c>
      <c r="N24" s="3" t="s">
        <v>41</v>
      </c>
      <c r="O24" s="22"/>
      <c r="P24" s="3" t="s">
        <v>17</v>
      </c>
      <c r="Q24" s="3" t="s">
        <v>74</v>
      </c>
      <c r="R24" s="3" t="s">
        <v>158</v>
      </c>
      <c r="S24" s="3" t="s">
        <v>41</v>
      </c>
    </row>
    <row r="25" spans="1:19" ht="43.2" x14ac:dyDescent="0.25">
      <c r="A25" s="18" t="s">
        <v>159</v>
      </c>
      <c r="B25" s="3" t="s">
        <v>266</v>
      </c>
      <c r="C25" s="21" t="s">
        <v>160</v>
      </c>
      <c r="D25" s="21" t="s">
        <v>161</v>
      </c>
      <c r="E25" s="21" t="s">
        <v>162</v>
      </c>
      <c r="F25" s="18" t="s">
        <v>41</v>
      </c>
      <c r="G25" s="21" t="s">
        <v>163</v>
      </c>
      <c r="H25" s="21" t="s">
        <v>164</v>
      </c>
      <c r="I25" s="21" t="s">
        <v>165</v>
      </c>
      <c r="J25" s="21" t="s">
        <v>166</v>
      </c>
      <c r="K25" s="18" t="s">
        <v>73</v>
      </c>
      <c r="L25" s="3" t="s">
        <v>168</v>
      </c>
      <c r="M25" s="3" t="s">
        <v>40</v>
      </c>
      <c r="N25" s="3" t="s">
        <v>41</v>
      </c>
      <c r="O25" s="3"/>
      <c r="P25" s="3" t="s">
        <v>17</v>
      </c>
      <c r="Q25" s="3" t="s">
        <v>74</v>
      </c>
      <c r="R25" s="3" t="s">
        <v>167</v>
      </c>
      <c r="S25" s="3" t="s">
        <v>41</v>
      </c>
    </row>
    <row r="26" spans="1:19" ht="69" x14ac:dyDescent="0.25">
      <c r="A26" s="13" t="s">
        <v>169</v>
      </c>
      <c r="B26" s="3" t="s">
        <v>267</v>
      </c>
      <c r="C26" s="11" t="s">
        <v>170</v>
      </c>
      <c r="D26" s="11" t="s">
        <v>171</v>
      </c>
      <c r="E26" s="11" t="s">
        <v>135</v>
      </c>
      <c r="F26" s="20" t="s">
        <v>144</v>
      </c>
      <c r="G26" s="6" t="s">
        <v>172</v>
      </c>
      <c r="H26" s="11" t="s">
        <v>146</v>
      </c>
      <c r="I26" s="6" t="s">
        <v>147</v>
      </c>
      <c r="J26" s="6" t="s">
        <v>148</v>
      </c>
      <c r="K26" s="3" t="s">
        <v>39</v>
      </c>
      <c r="L26" s="3" t="s">
        <v>168</v>
      </c>
      <c r="M26" s="3" t="s">
        <v>40</v>
      </c>
      <c r="N26" s="3" t="s">
        <v>41</v>
      </c>
      <c r="O26" s="3"/>
      <c r="P26" s="3" t="s">
        <v>17</v>
      </c>
      <c r="Q26" s="3" t="s">
        <v>74</v>
      </c>
      <c r="R26" s="3" t="s">
        <v>179</v>
      </c>
      <c r="S26" s="3" t="s">
        <v>41</v>
      </c>
    </row>
    <row r="27" spans="1:19" ht="69" x14ac:dyDescent="0.25">
      <c r="A27" s="13" t="s">
        <v>173</v>
      </c>
      <c r="B27" s="3" t="s">
        <v>268</v>
      </c>
      <c r="C27" s="11" t="s">
        <v>174</v>
      </c>
      <c r="D27" s="24" t="s">
        <v>175</v>
      </c>
      <c r="E27" s="11" t="s">
        <v>135</v>
      </c>
      <c r="F27" s="3" t="s">
        <v>176</v>
      </c>
      <c r="G27" s="6" t="s">
        <v>177</v>
      </c>
      <c r="H27" s="11" t="s">
        <v>88</v>
      </c>
      <c r="I27" s="3" t="s">
        <v>89</v>
      </c>
      <c r="J27" s="6" t="s">
        <v>178</v>
      </c>
      <c r="K27" s="3" t="s">
        <v>39</v>
      </c>
      <c r="L27" s="3" t="s">
        <v>168</v>
      </c>
      <c r="M27" s="3" t="s">
        <v>40</v>
      </c>
      <c r="N27" s="3" t="s">
        <v>41</v>
      </c>
      <c r="O27" s="3"/>
      <c r="P27" s="3" t="s">
        <v>17</v>
      </c>
      <c r="Q27" s="3" t="s">
        <v>74</v>
      </c>
      <c r="R27" s="3" t="s">
        <v>180</v>
      </c>
      <c r="S27" s="3" t="s">
        <v>41</v>
      </c>
    </row>
    <row r="28" spans="1:19" ht="55.2" x14ac:dyDescent="0.25">
      <c r="A28" s="13" t="s">
        <v>181</v>
      </c>
      <c r="B28" s="3" t="s">
        <v>269</v>
      </c>
      <c r="C28" s="11" t="s">
        <v>182</v>
      </c>
      <c r="D28" s="11" t="s">
        <v>183</v>
      </c>
      <c r="E28" s="11" t="s">
        <v>135</v>
      </c>
      <c r="F28" s="3" t="s">
        <v>184</v>
      </c>
      <c r="G28" s="6" t="s">
        <v>185</v>
      </c>
      <c r="H28" s="11" t="s">
        <v>186</v>
      </c>
      <c r="I28" s="3" t="s">
        <v>187</v>
      </c>
      <c r="J28" s="11" t="s">
        <v>188</v>
      </c>
      <c r="K28" s="3" t="s">
        <v>39</v>
      </c>
      <c r="L28" s="3" t="s">
        <v>168</v>
      </c>
      <c r="M28" s="3" t="s">
        <v>40</v>
      </c>
      <c r="N28" s="3" t="s">
        <v>41</v>
      </c>
      <c r="O28" s="3"/>
      <c r="P28" s="3" t="s">
        <v>17</v>
      </c>
      <c r="Q28" s="3" t="s">
        <v>74</v>
      </c>
      <c r="R28" s="3" t="s">
        <v>189</v>
      </c>
      <c r="S28" s="3" t="s">
        <v>41</v>
      </c>
    </row>
    <row r="29" spans="1:19" ht="82.8" x14ac:dyDescent="0.25">
      <c r="A29" s="13" t="s">
        <v>190</v>
      </c>
      <c r="B29" s="3" t="s">
        <v>270</v>
      </c>
      <c r="C29" s="6" t="s">
        <v>191</v>
      </c>
      <c r="D29" s="6" t="s">
        <v>192</v>
      </c>
      <c r="E29" s="6" t="s">
        <v>193</v>
      </c>
      <c r="F29" s="20" t="s">
        <v>144</v>
      </c>
      <c r="G29" s="6" t="s">
        <v>194</v>
      </c>
      <c r="H29" s="6" t="s">
        <v>195</v>
      </c>
      <c r="I29" s="6" t="s">
        <v>196</v>
      </c>
      <c r="J29" s="6" t="s">
        <v>197</v>
      </c>
      <c r="K29" s="3" t="s">
        <v>39</v>
      </c>
      <c r="L29" s="3" t="s">
        <v>168</v>
      </c>
      <c r="M29" s="3" t="s">
        <v>40</v>
      </c>
      <c r="N29" s="3" t="s">
        <v>41</v>
      </c>
      <c r="O29" s="3"/>
      <c r="P29" s="3" t="s">
        <v>17</v>
      </c>
      <c r="Q29" s="3" t="s">
        <v>74</v>
      </c>
      <c r="R29" s="3" t="s">
        <v>206</v>
      </c>
      <c r="S29" s="3" t="s">
        <v>41</v>
      </c>
    </row>
    <row r="30" spans="1:19" ht="82.8" x14ac:dyDescent="0.25">
      <c r="A30" s="13" t="s">
        <v>198</v>
      </c>
      <c r="B30" s="3" t="s">
        <v>271</v>
      </c>
      <c r="C30" s="6" t="s">
        <v>199</v>
      </c>
      <c r="D30" s="6" t="s">
        <v>200</v>
      </c>
      <c r="E30" s="6" t="s">
        <v>193</v>
      </c>
      <c r="F30" s="14" t="s">
        <v>201</v>
      </c>
      <c r="G30" s="6" t="s">
        <v>202</v>
      </c>
      <c r="H30" s="6" t="s">
        <v>203</v>
      </c>
      <c r="I30" s="6" t="s">
        <v>204</v>
      </c>
      <c r="J30" s="6" t="s">
        <v>205</v>
      </c>
      <c r="K30" s="3" t="s">
        <v>39</v>
      </c>
      <c r="L30" s="3" t="s">
        <v>168</v>
      </c>
      <c r="M30" s="3" t="s">
        <v>40</v>
      </c>
      <c r="N30" s="3" t="s">
        <v>41</v>
      </c>
      <c r="O30" s="3"/>
      <c r="P30" s="3" t="s">
        <v>17</v>
      </c>
      <c r="Q30" s="3" t="s">
        <v>74</v>
      </c>
      <c r="R30" s="3" t="s">
        <v>207</v>
      </c>
      <c r="S30" s="3" t="s">
        <v>41</v>
      </c>
    </row>
    <row r="31" spans="1:19" ht="69" x14ac:dyDescent="0.25">
      <c r="A31" s="13" t="s">
        <v>208</v>
      </c>
      <c r="B31" s="3" t="s">
        <v>272</v>
      </c>
      <c r="C31" s="6" t="s">
        <v>209</v>
      </c>
      <c r="D31" s="6" t="s">
        <v>210</v>
      </c>
      <c r="E31" s="6" t="s">
        <v>211</v>
      </c>
      <c r="F31" s="6" t="s">
        <v>201</v>
      </c>
      <c r="G31" s="6" t="s">
        <v>212</v>
      </c>
      <c r="H31" s="6" t="s">
        <v>203</v>
      </c>
      <c r="I31" s="6" t="s">
        <v>204</v>
      </c>
      <c r="J31" s="6" t="s">
        <v>205</v>
      </c>
      <c r="K31" s="3" t="s">
        <v>39</v>
      </c>
      <c r="L31" s="3" t="s">
        <v>168</v>
      </c>
      <c r="M31" s="3" t="s">
        <v>40</v>
      </c>
      <c r="N31" s="3" t="s">
        <v>41</v>
      </c>
      <c r="O31" s="3"/>
      <c r="P31" s="3" t="s">
        <v>17</v>
      </c>
      <c r="Q31" s="3" t="s">
        <v>74</v>
      </c>
      <c r="R31" s="3" t="s">
        <v>228</v>
      </c>
      <c r="S31" s="3" t="s">
        <v>41</v>
      </c>
    </row>
    <row r="32" spans="1:19" ht="55.2" x14ac:dyDescent="0.25">
      <c r="A32" s="13" t="s">
        <v>213</v>
      </c>
      <c r="B32" s="3" t="s">
        <v>273</v>
      </c>
      <c r="C32" s="6" t="s">
        <v>182</v>
      </c>
      <c r="D32" s="6" t="s">
        <v>214</v>
      </c>
      <c r="E32" s="6" t="s">
        <v>211</v>
      </c>
      <c r="F32" s="6" t="s">
        <v>94</v>
      </c>
      <c r="G32" s="6" t="s">
        <v>215</v>
      </c>
      <c r="H32" s="11" t="s">
        <v>186</v>
      </c>
      <c r="I32" s="3" t="s">
        <v>187</v>
      </c>
      <c r="J32" s="11" t="s">
        <v>188</v>
      </c>
      <c r="K32" s="3" t="s">
        <v>39</v>
      </c>
      <c r="L32" s="3" t="s">
        <v>168</v>
      </c>
      <c r="M32" s="3" t="s">
        <v>40</v>
      </c>
      <c r="N32" s="3" t="s">
        <v>41</v>
      </c>
      <c r="O32" s="3"/>
      <c r="P32" s="3" t="s">
        <v>17</v>
      </c>
      <c r="Q32" s="3" t="s">
        <v>74</v>
      </c>
      <c r="R32" s="3" t="s">
        <v>226</v>
      </c>
      <c r="S32" s="3" t="s">
        <v>41</v>
      </c>
    </row>
    <row r="33" spans="1:19" ht="55.2" x14ac:dyDescent="0.25">
      <c r="A33" s="13" t="s">
        <v>216</v>
      </c>
      <c r="B33" s="3" t="s">
        <v>274</v>
      </c>
      <c r="C33" s="6" t="s">
        <v>217</v>
      </c>
      <c r="D33" s="6" t="s">
        <v>214</v>
      </c>
      <c r="E33" s="6" t="s">
        <v>211</v>
      </c>
      <c r="F33" s="6" t="s">
        <v>94</v>
      </c>
      <c r="G33" s="6" t="s">
        <v>215</v>
      </c>
      <c r="H33" s="11" t="s">
        <v>186</v>
      </c>
      <c r="I33" s="3" t="s">
        <v>187</v>
      </c>
      <c r="J33" s="11" t="s">
        <v>188</v>
      </c>
      <c r="K33" s="3" t="s">
        <v>39</v>
      </c>
      <c r="L33" s="3" t="s">
        <v>168</v>
      </c>
      <c r="M33" s="3" t="s">
        <v>40</v>
      </c>
      <c r="N33" s="3" t="s">
        <v>41</v>
      </c>
      <c r="O33" s="10"/>
      <c r="P33" s="3" t="s">
        <v>17</v>
      </c>
      <c r="Q33" s="3" t="s">
        <v>74</v>
      </c>
      <c r="R33" s="3" t="s">
        <v>227</v>
      </c>
      <c r="S33" s="3" t="s">
        <v>41</v>
      </c>
    </row>
    <row r="34" spans="1:19" ht="82.8" x14ac:dyDescent="0.25">
      <c r="A34" s="13" t="s">
        <v>224</v>
      </c>
      <c r="B34" s="3" t="s">
        <v>275</v>
      </c>
      <c r="C34" s="7" t="s">
        <v>218</v>
      </c>
      <c r="D34" s="7" t="s">
        <v>219</v>
      </c>
      <c r="E34" s="7" t="s">
        <v>211</v>
      </c>
      <c r="F34" s="7"/>
      <c r="G34" s="7" t="s">
        <v>220</v>
      </c>
      <c r="H34" s="7" t="s">
        <v>221</v>
      </c>
      <c r="I34" s="7" t="s">
        <v>222</v>
      </c>
      <c r="J34" s="7" t="s">
        <v>223</v>
      </c>
      <c r="K34" s="15" t="s">
        <v>73</v>
      </c>
      <c r="L34" s="3" t="s">
        <v>168</v>
      </c>
      <c r="M34" s="3" t="s">
        <v>40</v>
      </c>
      <c r="N34" s="3" t="s">
        <v>41</v>
      </c>
      <c r="O34" s="10"/>
      <c r="P34" s="3" t="s">
        <v>17</v>
      </c>
      <c r="Q34" s="3" t="s">
        <v>74</v>
      </c>
      <c r="R34" s="3" t="s">
        <v>225</v>
      </c>
      <c r="S34" s="3" t="s">
        <v>41</v>
      </c>
    </row>
    <row r="35" spans="1:19" ht="69" x14ac:dyDescent="0.25">
      <c r="A35" s="13" t="s">
        <v>229</v>
      </c>
      <c r="B35" s="3" t="s">
        <v>276</v>
      </c>
      <c r="C35" s="11" t="s">
        <v>230</v>
      </c>
      <c r="D35" s="6" t="s">
        <v>231</v>
      </c>
      <c r="E35" s="6" t="s">
        <v>211</v>
      </c>
      <c r="F35" s="6" t="s">
        <v>201</v>
      </c>
      <c r="G35" s="6" t="s">
        <v>212</v>
      </c>
      <c r="H35" s="6" t="s">
        <v>203</v>
      </c>
      <c r="I35" s="6" t="s">
        <v>204</v>
      </c>
      <c r="J35" s="6" t="s">
        <v>205</v>
      </c>
      <c r="K35" s="3" t="s">
        <v>39</v>
      </c>
      <c r="L35" s="3" t="s">
        <v>168</v>
      </c>
      <c r="M35" s="3" t="s">
        <v>40</v>
      </c>
      <c r="N35" s="3" t="s">
        <v>41</v>
      </c>
      <c r="O35" s="10"/>
      <c r="P35" s="3" t="s">
        <v>17</v>
      </c>
      <c r="Q35" s="3" t="s">
        <v>74</v>
      </c>
      <c r="R35" s="3" t="s">
        <v>241</v>
      </c>
      <c r="S35" s="3" t="s">
        <v>41</v>
      </c>
    </row>
    <row r="36" spans="1:19" ht="55.2" x14ac:dyDescent="0.25">
      <c r="A36" s="13" t="s">
        <v>232</v>
      </c>
      <c r="B36" s="3" t="s">
        <v>277</v>
      </c>
      <c r="C36" s="11" t="s">
        <v>233</v>
      </c>
      <c r="D36" s="6" t="s">
        <v>214</v>
      </c>
      <c r="E36" s="6" t="s">
        <v>211</v>
      </c>
      <c r="F36" s="6" t="s">
        <v>94</v>
      </c>
      <c r="G36" s="6" t="s">
        <v>215</v>
      </c>
      <c r="H36" s="11" t="s">
        <v>186</v>
      </c>
      <c r="I36" s="3" t="s">
        <v>187</v>
      </c>
      <c r="J36" s="11" t="s">
        <v>188</v>
      </c>
      <c r="K36" s="3" t="s">
        <v>39</v>
      </c>
      <c r="L36" s="3" t="s">
        <v>168</v>
      </c>
      <c r="M36" s="3" t="s">
        <v>40</v>
      </c>
      <c r="N36" s="3" t="s">
        <v>41</v>
      </c>
      <c r="O36" s="10"/>
      <c r="P36" s="3" t="s">
        <v>17</v>
      </c>
      <c r="Q36" s="3" t="s">
        <v>74</v>
      </c>
      <c r="R36" s="3" t="s">
        <v>241</v>
      </c>
      <c r="S36" s="3" t="s">
        <v>41</v>
      </c>
    </row>
    <row r="37" spans="1:19" ht="27.6" x14ac:dyDescent="0.25">
      <c r="A37" s="13" t="s">
        <v>239</v>
      </c>
      <c r="B37" s="3" t="s">
        <v>278</v>
      </c>
      <c r="C37" s="12" t="s">
        <v>234</v>
      </c>
      <c r="D37" s="12" t="s">
        <v>235</v>
      </c>
      <c r="E37" s="7" t="s">
        <v>211</v>
      </c>
      <c r="F37" s="13" t="s">
        <v>41</v>
      </c>
      <c r="G37" s="7" t="s">
        <v>236</v>
      </c>
      <c r="H37" s="12" t="s">
        <v>237</v>
      </c>
      <c r="I37" s="12" t="s">
        <v>222</v>
      </c>
      <c r="J37" s="7" t="s">
        <v>238</v>
      </c>
      <c r="K37" s="13" t="s">
        <v>73</v>
      </c>
      <c r="L37" s="3" t="s">
        <v>168</v>
      </c>
      <c r="M37" s="3" t="s">
        <v>40</v>
      </c>
      <c r="N37" s="3" t="s">
        <v>41</v>
      </c>
      <c r="O37" s="10"/>
      <c r="P37" s="3" t="s">
        <v>17</v>
      </c>
      <c r="Q37" s="3" t="s">
        <v>74</v>
      </c>
      <c r="R37" s="3" t="s">
        <v>240</v>
      </c>
      <c r="S37" s="3" t="s">
        <v>41</v>
      </c>
    </row>
    <row r="38" spans="1:19" ht="82.8" x14ac:dyDescent="0.25">
      <c r="A38" s="25" t="s">
        <v>242</v>
      </c>
      <c r="B38" s="3" t="s">
        <v>279</v>
      </c>
      <c r="C38" s="11" t="s">
        <v>243</v>
      </c>
      <c r="D38" s="11" t="s">
        <v>244</v>
      </c>
      <c r="E38" s="11" t="s">
        <v>211</v>
      </c>
      <c r="F38" s="3" t="s">
        <v>41</v>
      </c>
      <c r="G38" s="11" t="s">
        <v>245</v>
      </c>
      <c r="H38" s="6" t="s">
        <v>195</v>
      </c>
      <c r="I38" s="6" t="s">
        <v>196</v>
      </c>
      <c r="J38" s="6" t="s">
        <v>197</v>
      </c>
      <c r="K38" s="3" t="s">
        <v>39</v>
      </c>
      <c r="L38" s="3" t="s">
        <v>168</v>
      </c>
      <c r="M38" s="3" t="s">
        <v>40</v>
      </c>
      <c r="N38" s="3" t="s">
        <v>41</v>
      </c>
      <c r="O38" s="10"/>
      <c r="P38" s="3" t="s">
        <v>17</v>
      </c>
      <c r="Q38" s="3" t="s">
        <v>74</v>
      </c>
      <c r="R38" s="3" t="s">
        <v>250</v>
      </c>
      <c r="S38" s="3" t="s">
        <v>41</v>
      </c>
    </row>
    <row r="39" spans="1:19" ht="69" x14ac:dyDescent="0.25">
      <c r="A39" s="25" t="s">
        <v>246</v>
      </c>
      <c r="B39" s="3" t="s">
        <v>280</v>
      </c>
      <c r="C39" s="11" t="s">
        <v>247</v>
      </c>
      <c r="D39" s="11" t="s">
        <v>248</v>
      </c>
      <c r="E39" s="11" t="s">
        <v>211</v>
      </c>
      <c r="F39" s="3" t="s">
        <v>41</v>
      </c>
      <c r="G39" s="11" t="s">
        <v>249</v>
      </c>
      <c r="H39" s="6" t="s">
        <v>203</v>
      </c>
      <c r="I39" s="6" t="s">
        <v>204</v>
      </c>
      <c r="J39" s="6" t="s">
        <v>205</v>
      </c>
      <c r="K39" s="3" t="s">
        <v>39</v>
      </c>
      <c r="L39" s="3" t="s">
        <v>168</v>
      </c>
      <c r="M39" s="3" t="s">
        <v>40</v>
      </c>
      <c r="N39" s="3" t="s">
        <v>41</v>
      </c>
      <c r="O39" s="10"/>
      <c r="P39" s="3" t="s">
        <v>17</v>
      </c>
      <c r="Q39" s="3" t="s">
        <v>74</v>
      </c>
      <c r="R39" s="3" t="s">
        <v>250</v>
      </c>
      <c r="S39" s="3" t="s">
        <v>41</v>
      </c>
    </row>
    <row r="40" spans="1:19" ht="55.2" x14ac:dyDescent="0.25">
      <c r="A40" s="3" t="s">
        <v>281</v>
      </c>
      <c r="B40" s="3" t="s">
        <v>318</v>
      </c>
      <c r="C40" s="6" t="s">
        <v>282</v>
      </c>
      <c r="D40" s="6" t="s">
        <v>283</v>
      </c>
      <c r="E40" s="6" t="s">
        <v>135</v>
      </c>
      <c r="F40" s="6" t="s">
        <v>284</v>
      </c>
      <c r="G40" s="6" t="s">
        <v>285</v>
      </c>
      <c r="H40" s="6" t="s">
        <v>286</v>
      </c>
      <c r="I40" s="6" t="s">
        <v>287</v>
      </c>
      <c r="J40" s="6" t="s">
        <v>288</v>
      </c>
      <c r="K40" s="3" t="s">
        <v>98</v>
      </c>
      <c r="L40" s="3" t="s">
        <v>289</v>
      </c>
      <c r="M40" s="3" t="s">
        <v>40</v>
      </c>
      <c r="N40" s="3" t="s">
        <v>41</v>
      </c>
      <c r="O40" s="10"/>
      <c r="P40" s="3" t="s">
        <v>17</v>
      </c>
      <c r="Q40" s="3" t="s">
        <v>18</v>
      </c>
      <c r="R40" s="3" t="s">
        <v>362</v>
      </c>
      <c r="S40" s="3" t="s">
        <v>41</v>
      </c>
    </row>
    <row r="41" spans="1:19" ht="55.2" x14ac:dyDescent="0.25">
      <c r="A41" s="3" t="s">
        <v>290</v>
      </c>
      <c r="B41" s="3" t="s">
        <v>319</v>
      </c>
      <c r="C41" s="6" t="s">
        <v>291</v>
      </c>
      <c r="D41" s="6" t="s">
        <v>292</v>
      </c>
      <c r="E41" s="6" t="s">
        <v>135</v>
      </c>
      <c r="F41" s="6" t="s">
        <v>293</v>
      </c>
      <c r="G41" s="6" t="s">
        <v>285</v>
      </c>
      <c r="H41" s="6" t="s">
        <v>294</v>
      </c>
      <c r="I41" s="6" t="s">
        <v>295</v>
      </c>
      <c r="J41" s="6" t="s">
        <v>296</v>
      </c>
      <c r="K41" s="3" t="s">
        <v>39</v>
      </c>
      <c r="L41" s="3" t="s">
        <v>289</v>
      </c>
      <c r="M41" s="3" t="s">
        <v>40</v>
      </c>
      <c r="N41" s="3" t="s">
        <v>41</v>
      </c>
      <c r="O41" s="10"/>
      <c r="P41" s="3" t="s">
        <v>17</v>
      </c>
      <c r="Q41" s="3" t="s">
        <v>18</v>
      </c>
      <c r="R41" s="3" t="s">
        <v>363</v>
      </c>
      <c r="S41" s="3" t="s">
        <v>41</v>
      </c>
    </row>
    <row r="42" spans="1:19" ht="55.2" x14ac:dyDescent="0.25">
      <c r="A42" s="3" t="s">
        <v>297</v>
      </c>
      <c r="B42" s="3" t="s">
        <v>320</v>
      </c>
      <c r="C42" s="6" t="s">
        <v>298</v>
      </c>
      <c r="D42" s="6" t="s">
        <v>299</v>
      </c>
      <c r="E42" s="6" t="s">
        <v>135</v>
      </c>
      <c r="F42" s="6" t="s">
        <v>300</v>
      </c>
      <c r="G42" s="6" t="s">
        <v>285</v>
      </c>
      <c r="H42" s="6" t="s">
        <v>301</v>
      </c>
      <c r="I42" s="6" t="s">
        <v>302</v>
      </c>
      <c r="J42" s="6" t="s">
        <v>303</v>
      </c>
      <c r="K42" s="3" t="s">
        <v>39</v>
      </c>
      <c r="L42" s="3" t="s">
        <v>289</v>
      </c>
      <c r="M42" s="3" t="s">
        <v>40</v>
      </c>
      <c r="N42" s="3" t="s">
        <v>41</v>
      </c>
      <c r="O42" s="10"/>
      <c r="P42" s="3" t="s">
        <v>17</v>
      </c>
      <c r="Q42" s="3" t="s">
        <v>18</v>
      </c>
      <c r="R42" s="3" t="s">
        <v>364</v>
      </c>
      <c r="S42" s="3" t="s">
        <v>41</v>
      </c>
    </row>
    <row r="43" spans="1:19" ht="55.2" x14ac:dyDescent="0.25">
      <c r="A43" s="3" t="s">
        <v>304</v>
      </c>
      <c r="B43" s="3" t="s">
        <v>321</v>
      </c>
      <c r="C43" s="6" t="s">
        <v>305</v>
      </c>
      <c r="D43" s="6" t="s">
        <v>306</v>
      </c>
      <c r="E43" s="6" t="s">
        <v>135</v>
      </c>
      <c r="F43" s="6" t="s">
        <v>307</v>
      </c>
      <c r="G43" s="6" t="s">
        <v>285</v>
      </c>
      <c r="H43" s="6" t="s">
        <v>308</v>
      </c>
      <c r="I43" s="6" t="s">
        <v>309</v>
      </c>
      <c r="J43" s="6" t="s">
        <v>310</v>
      </c>
      <c r="K43" s="3" t="s">
        <v>39</v>
      </c>
      <c r="L43" s="3" t="s">
        <v>289</v>
      </c>
      <c r="M43" s="3" t="s">
        <v>40</v>
      </c>
      <c r="N43" s="3" t="s">
        <v>41</v>
      </c>
      <c r="O43" s="10"/>
      <c r="P43" s="3" t="s">
        <v>17</v>
      </c>
      <c r="Q43" s="3" t="s">
        <v>18</v>
      </c>
      <c r="R43" s="3" t="s">
        <v>365</v>
      </c>
      <c r="S43" s="3" t="s">
        <v>41</v>
      </c>
    </row>
    <row r="44" spans="1:19" ht="55.2" x14ac:dyDescent="0.25">
      <c r="A44" s="3" t="s">
        <v>311</v>
      </c>
      <c r="B44" s="3" t="s">
        <v>322</v>
      </c>
      <c r="C44" s="6" t="s">
        <v>312</v>
      </c>
      <c r="D44" s="6" t="s">
        <v>313</v>
      </c>
      <c r="E44" s="6" t="s">
        <v>135</v>
      </c>
      <c r="F44" s="6" t="s">
        <v>314</v>
      </c>
      <c r="G44" s="6" t="s">
        <v>285</v>
      </c>
      <c r="H44" s="6" t="s">
        <v>315</v>
      </c>
      <c r="I44" s="6" t="s">
        <v>316</v>
      </c>
      <c r="J44" s="6" t="s">
        <v>317</v>
      </c>
      <c r="K44" s="3" t="s">
        <v>39</v>
      </c>
      <c r="L44" s="3" t="s">
        <v>289</v>
      </c>
      <c r="M44" s="3" t="s">
        <v>40</v>
      </c>
      <c r="N44" s="3" t="s">
        <v>41</v>
      </c>
      <c r="O44" s="15"/>
      <c r="P44" s="3" t="s">
        <v>17</v>
      </c>
      <c r="Q44" s="3" t="s">
        <v>18</v>
      </c>
      <c r="R44" s="3" t="s">
        <v>366</v>
      </c>
      <c r="S44" s="3" t="s">
        <v>41</v>
      </c>
    </row>
    <row r="45" spans="1:19" ht="55.2" x14ac:dyDescent="0.25">
      <c r="A45" s="13" t="s">
        <v>323</v>
      </c>
      <c r="B45" s="3" t="s">
        <v>357</v>
      </c>
      <c r="C45" s="6" t="s">
        <v>324</v>
      </c>
      <c r="D45" s="40" t="s">
        <v>325</v>
      </c>
      <c r="E45" s="6" t="s">
        <v>135</v>
      </c>
      <c r="F45" s="3" t="s">
        <v>41</v>
      </c>
      <c r="G45" s="6" t="s">
        <v>326</v>
      </c>
      <c r="H45" s="6" t="s">
        <v>327</v>
      </c>
      <c r="I45" s="3" t="s">
        <v>328</v>
      </c>
      <c r="J45" s="6" t="s">
        <v>329</v>
      </c>
      <c r="K45" s="3" t="s">
        <v>39</v>
      </c>
      <c r="L45" s="3" t="s">
        <v>289</v>
      </c>
      <c r="M45" s="3" t="s">
        <v>40</v>
      </c>
      <c r="N45" s="3" t="s">
        <v>41</v>
      </c>
      <c r="O45" s="15" t="s">
        <v>372</v>
      </c>
      <c r="P45" s="3" t="s">
        <v>17</v>
      </c>
      <c r="Q45" s="3" t="s">
        <v>74</v>
      </c>
      <c r="R45" s="3" t="s">
        <v>367</v>
      </c>
      <c r="S45" s="3" t="s">
        <v>41</v>
      </c>
    </row>
    <row r="46" spans="1:19" ht="55.2" x14ac:dyDescent="0.25">
      <c r="A46" s="13" t="s">
        <v>330</v>
      </c>
      <c r="B46" s="3" t="s">
        <v>358</v>
      </c>
      <c r="C46" s="6" t="s">
        <v>331</v>
      </c>
      <c r="D46" s="6" t="s">
        <v>175</v>
      </c>
      <c r="E46" s="6" t="s">
        <v>135</v>
      </c>
      <c r="F46" s="6" t="s">
        <v>332</v>
      </c>
      <c r="G46" s="6" t="s">
        <v>333</v>
      </c>
      <c r="H46" s="6" t="s">
        <v>334</v>
      </c>
      <c r="I46" s="3" t="s">
        <v>335</v>
      </c>
      <c r="J46" s="6" t="s">
        <v>336</v>
      </c>
      <c r="K46" s="3" t="s">
        <v>39</v>
      </c>
      <c r="L46" s="3" t="s">
        <v>289</v>
      </c>
      <c r="M46" s="3" t="s">
        <v>40</v>
      </c>
      <c r="N46" s="3" t="s">
        <v>41</v>
      </c>
      <c r="O46" s="3" t="s">
        <v>373</v>
      </c>
      <c r="P46" s="3" t="s">
        <v>17</v>
      </c>
      <c r="Q46" s="3" t="s">
        <v>74</v>
      </c>
      <c r="R46" s="3" t="s">
        <v>368</v>
      </c>
      <c r="S46" s="3" t="s">
        <v>41</v>
      </c>
    </row>
    <row r="47" spans="1:19" ht="55.2" x14ac:dyDescent="0.25">
      <c r="A47" s="13" t="s">
        <v>337</v>
      </c>
      <c r="B47" s="3" t="s">
        <v>359</v>
      </c>
      <c r="C47" s="6" t="s">
        <v>338</v>
      </c>
      <c r="D47" s="6" t="s">
        <v>339</v>
      </c>
      <c r="E47" s="6" t="s">
        <v>135</v>
      </c>
      <c r="F47" s="41" t="s">
        <v>340</v>
      </c>
      <c r="G47" s="6" t="s">
        <v>333</v>
      </c>
      <c r="H47" s="6" t="s">
        <v>341</v>
      </c>
      <c r="I47" s="3" t="s">
        <v>342</v>
      </c>
      <c r="J47" s="6" t="s">
        <v>343</v>
      </c>
      <c r="K47" s="3" t="s">
        <v>39</v>
      </c>
      <c r="L47" s="3" t="s">
        <v>289</v>
      </c>
      <c r="M47" s="3" t="s">
        <v>40</v>
      </c>
      <c r="N47" s="3" t="s">
        <v>41</v>
      </c>
      <c r="O47" s="3" t="s">
        <v>374</v>
      </c>
      <c r="P47" s="3" t="s">
        <v>17</v>
      </c>
      <c r="Q47" s="3" t="s">
        <v>74</v>
      </c>
      <c r="R47" s="3" t="s">
        <v>369</v>
      </c>
      <c r="S47" s="3" t="s">
        <v>41</v>
      </c>
    </row>
    <row r="48" spans="1:19" ht="55.2" x14ac:dyDescent="0.25">
      <c r="A48" s="13" t="s">
        <v>344</v>
      </c>
      <c r="B48" s="3" t="s">
        <v>360</v>
      </c>
      <c r="C48" s="7" t="s">
        <v>345</v>
      </c>
      <c r="D48" s="7" t="s">
        <v>346</v>
      </c>
      <c r="E48" s="7" t="s">
        <v>347</v>
      </c>
      <c r="F48" s="13" t="s">
        <v>41</v>
      </c>
      <c r="G48" s="7" t="s">
        <v>348</v>
      </c>
      <c r="H48" s="7" t="s">
        <v>349</v>
      </c>
      <c r="I48" s="13" t="s">
        <v>222</v>
      </c>
      <c r="J48" s="7" t="s">
        <v>350</v>
      </c>
      <c r="K48" s="13" t="s">
        <v>73</v>
      </c>
      <c r="L48" s="13" t="s">
        <v>289</v>
      </c>
      <c r="M48" s="3" t="s">
        <v>40</v>
      </c>
      <c r="N48" s="3" t="s">
        <v>41</v>
      </c>
      <c r="O48" s="15" t="s">
        <v>375</v>
      </c>
      <c r="P48" s="3" t="s">
        <v>17</v>
      </c>
      <c r="Q48" s="3" t="s">
        <v>74</v>
      </c>
      <c r="R48" s="3" t="s">
        <v>370</v>
      </c>
      <c r="S48" s="3" t="s">
        <v>41</v>
      </c>
    </row>
    <row r="49" spans="1:19" ht="55.2" x14ac:dyDescent="0.25">
      <c r="A49" s="13" t="s">
        <v>351</v>
      </c>
      <c r="B49" s="3" t="s">
        <v>361</v>
      </c>
      <c r="C49" s="7" t="s">
        <v>352</v>
      </c>
      <c r="D49" s="7" t="s">
        <v>353</v>
      </c>
      <c r="E49" s="7" t="s">
        <v>347</v>
      </c>
      <c r="F49" s="13" t="s">
        <v>41</v>
      </c>
      <c r="G49" s="7" t="s">
        <v>354</v>
      </c>
      <c r="H49" s="7" t="s">
        <v>355</v>
      </c>
      <c r="I49" s="13" t="s">
        <v>222</v>
      </c>
      <c r="J49" s="7" t="s">
        <v>356</v>
      </c>
      <c r="K49" s="13" t="s">
        <v>39</v>
      </c>
      <c r="L49" s="13" t="s">
        <v>289</v>
      </c>
      <c r="M49" s="3" t="s">
        <v>40</v>
      </c>
      <c r="N49" s="3" t="s">
        <v>41</v>
      </c>
      <c r="O49" s="15" t="s">
        <v>376</v>
      </c>
      <c r="P49" s="3" t="s">
        <v>17</v>
      </c>
      <c r="Q49" s="3" t="s">
        <v>74</v>
      </c>
      <c r="R49" s="3" t="s">
        <v>371</v>
      </c>
      <c r="S49" s="3" t="s">
        <v>41</v>
      </c>
    </row>
  </sheetData>
  <mergeCells count="27">
    <mergeCell ref="D3:S3"/>
    <mergeCell ref="A8:A9"/>
    <mergeCell ref="A1:S1"/>
    <mergeCell ref="A2:S2"/>
    <mergeCell ref="A3:C3"/>
    <mergeCell ref="A4:B4"/>
    <mergeCell ref="A5:B5"/>
    <mergeCell ref="A6:B6"/>
    <mergeCell ref="A7:S7"/>
    <mergeCell ref="B8:B9"/>
    <mergeCell ref="C8:C9"/>
    <mergeCell ref="D8:D9"/>
    <mergeCell ref="E8:E9"/>
    <mergeCell ref="F8:F9"/>
    <mergeCell ref="G8:G9"/>
    <mergeCell ref="H8:H9"/>
    <mergeCell ref="I8:I9"/>
    <mergeCell ref="J8:J9"/>
    <mergeCell ref="Q8:Q9"/>
    <mergeCell ref="R8:R9"/>
    <mergeCell ref="S8:S9"/>
    <mergeCell ref="K8:K9"/>
    <mergeCell ref="L8:L9"/>
    <mergeCell ref="M8:M9"/>
    <mergeCell ref="N8:N9"/>
    <mergeCell ref="O8:O9"/>
    <mergeCell ref="P8:P9"/>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Tracking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Huyền Nguyễn Khánh</dc:creator>
  <cp:lastModifiedBy>Nguyễn Khánh Huyền</cp:lastModifiedBy>
  <dcterms:created xsi:type="dcterms:W3CDTF">2015-06-05T18:17:20Z</dcterms:created>
  <dcterms:modified xsi:type="dcterms:W3CDTF">2026-06-08T01:32:27Z</dcterms:modified>
</cp:coreProperties>
</file>